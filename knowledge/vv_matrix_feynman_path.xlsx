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nV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Feynman Grand Prize - NDI Systems-Engineering Decomposition &amp; Verification Contract</t>
        </is>
      </c>
    </row>
    <row r="2">
      <c r="A2" t="inlineStr">
        <is>
          <t>v0.2 (rules-grounded; TBR-2/3/4/5 resolved)  |  Public Feynman-Path V&amp;V (open science)</t>
        </is>
      </c>
    </row>
    <row r="4">
      <c r="A4" t="inlineStr">
        <is>
          <t>Spine</t>
        </is>
      </c>
      <c r="B4" t="inlineStr">
        <is>
          <t>Hybrid traceability: literal 1995 prize spec as requirements root, mapped to NDI off-board electrically-controlled route (Track 1 spine; Tracks 2-3 dependencies); divergences flagged as contract deviations.</t>
        </is>
      </c>
    </row>
    <row r="5">
      <c r="A5" t="inlineStr">
        <is>
          <t>Leaf rule</t>
        </is>
      </c>
      <c r="B5" t="inlineStr">
        <is>
          <t>Each leaf = exactly one experiment OR one simulation/proof with one acceptance criterion.</t>
        </is>
      </c>
    </row>
    <row r="6">
      <c r="A6" t="inlineStr">
        <is>
          <t>Prize</t>
        </is>
      </c>
      <c r="B6" t="inlineStr">
        <is>
          <t>$250,000 | announced 1995 | unclaimed | James R. Von Ehr II (Zyvex) &amp; Marc E. Arnold; Foresight Institute</t>
        </is>
      </c>
    </row>
    <row r="7">
      <c r="A7" t="inlineStr">
        <is>
          <t>Device 1</t>
        </is>
      </c>
      <c r="B7" t="inlineStr">
        <is>
          <t>Robotic nanomanipulator: fits entirely in a &lt;=100 nm cube; moves to a directed sequence of positions anywhere within a 50 nm cube; positioning accuracy &lt;=0.1 nm; &gt;=1000 accurate nm-scale positioning motions per second for &gt;=60 consecutive seconds; actions directed by input signals.</t>
        </is>
      </c>
    </row>
    <row r="8">
      <c r="A8" t="inlineStr">
        <is>
          <t>Device 2</t>
        </is>
      </c>
      <c r="B8" t="inlineStr">
        <is>
          <t>8-bit binary adder: fits entirely in a &lt;=50 nm cube; adds any pair of 8-bit numbers discarding overflow (8-bit output); accepts input signals; output rendered as raised nm-scale bumps on an atomically precise and level surface. (Conventional 8-bit adder ~94 AND/OR/NOT gates; ~37 with XOR - J.S. Hall.)</t>
        </is>
      </c>
    </row>
    <row r="9">
      <c r="A9" t="inlineStr">
        <is>
          <t>Submission</t>
        </is>
      </c>
      <c r="B9" t="inlineStr">
        <is>
          <t>&gt;=32 copies of EACH device for analysis and DESTRUCTIVE testing by judges (mass-production demonstration). Self-replication is NOT required to qualify.</t>
        </is>
      </c>
    </row>
    <row r="10">
      <c r="A10" t="inlineStr">
        <is>
          <t>Inputs allowed</t>
        </is>
      </c>
      <c r="B10" t="inlineStr">
        <is>
          <t>acoustic, electrical, optical, diffusive-chemical, or mechanical; any MECHANICAL driving input limited to a single linkage that slides or rotates on a single axis (so off-board electrical/optical/chemical drive is explicitly admissible).</t>
        </is>
      </c>
    </row>
    <row r="11">
      <c r="A11" t="inlineStr">
        <is>
          <t>Underdefined (gaps)</t>
        </is>
      </c>
      <c r="B11" t="inlineStr">
        <is>
          <t>Well-specified: 100/50 nm geometry, 0.1 nm accuracy, &gt;=1000 motions/s x&gt;=60 s, bump-topography output, 5 input modalities, 32-copy destructive testing. UNDERDEFINED (hypothesis confirmed): operating environment/temperature; exact input-signal encoding; judging/verification methodology beyond destructive testing; time-to-claim window.</t>
        </is>
      </c>
    </row>
    <row r="12">
      <c r="A12" t="inlineStr">
        <is>
          <t>Generation map</t>
        </is>
      </c>
      <c r="B12" t="inlineStr">
        <is>
          <t>Prize-grade arm (0.1 nm accuracy, &gt;=1000 moves/s x60 s) = NDI Gen-3+ unless stiffening modeling (A8.2/A1.4) closes the thermal-noise gap; Gen-1 (sub-3 nm closed-loop actuator) is the precursor tier. The adder is a positionally-assembled atomically-precise device (output = topographic bumps) built by arm-class capability + Track-2 mechanosynthesis, not an off-board CPU.</t>
        </is>
      </c>
    </row>
    <row r="13">
      <c r="A13" t="inlineStr">
        <is>
          <t>[ownership/IP-chain note redacted for public release]</t>
        </is>
      </c>
      <c r="B13" t="inlineStr">
        <is>
          <t>[ownership/IP-chain note redacted for public release]</t>
        </is>
      </c>
    </row>
    <row r="14">
      <c r="A14" t="inlineStr">
        <is>
          <t>Verbatim rules</t>
        </is>
      </c>
      <c r="B14" t="inlineStr">
        <is>
          <t>Foresight Feynman Grand Prize rules (1995), reproduced in Freitas &amp; Merkle, KSRM 4.9.4: The robotic nanomanipulator must fit entirely inside a 100-nm cube, carry out actions directed by input signals of specified types, be able to move to a directed sequence of positions anywhere within a 50-nm cube, complete all directed actions with a positioning accuracy of 0.1 nanometer or better, and perform at least 1,000 accurate, nanometer-scale positioning motions per second for at least 60 consecutive seconds. The adder must fit entirely within a 50-nm cube, and must be capable of adding accurately any pair of 8-bit binary numbers, discarding overflow, accepting input signals of specified types, and producing its output as a pattern of raised nanometer-scale bumps on an atomically precise and level surface. (J.S. Hall: ~94 AND/OR/NOT gates; ~37 with XOR.) Both devices may accept inputs from acoustic, electrical, optical, diffusive chemical, or mechanical means, although any mechanical driving mechanism used for input must be limited to a single linkage that either slides or rotates on a single axis. At least 32 copies of each device must be provided for analysis and destructive testing by judges. The device does not need to demonstrate self-replication to qualify.</t>
        </is>
      </c>
    </row>
    <row r="15">
      <c r="A15" t="inlineStr">
        <is>
          <t>Empirical tripwire</t>
        </is>
      </c>
      <c r="B15" t="inlineStr">
        <is>
          <t>EMPIRICAL-VALIDATION flag is MANDATORY at any TRL 3-&gt;4 crossing and for every claim about yield, force, signal-to-noise ratio (SNR), or positional/angular accuracy, regardless of TRL.</t>
        </is>
      </c>
    </row>
    <row r="17">
      <c r="A17" t="inlineStr">
        <is>
          <t>Verification taxonomy</t>
        </is>
      </c>
    </row>
    <row r="18">
      <c r="A18" t="inlineStr">
        <is>
          <t>P</t>
        </is>
      </c>
      <c r="B18" t="inlineStr">
        <is>
          <t>Formal / analytical proof</t>
        </is>
      </c>
    </row>
    <row r="19">
      <c r="B19" t="inlineStr">
        <is>
          <t>Machine check: An automated checker returns PASS/FAIL: SAT/SMT/BDD equivalence, symbolic algebra, screw-theory rank test, closed-form inequality evaluator, packing/geometry checker.</t>
        </is>
      </c>
    </row>
    <row r="20">
      <c r="B20" t="inlineStr">
        <is>
          <t>Sufficiency: Sufficient alone only for mathematical/logical obligations; physical realism still requires S or E downstream.</t>
        </is>
      </c>
    </row>
    <row r="22">
      <c r="A22" t="inlineStr">
        <is>
          <t>S</t>
        </is>
      </c>
      <c r="B22" t="inlineStr">
        <is>
          <t>Computational simulation &gt;= threshold</t>
        </is>
      </c>
    </row>
    <row r="23">
      <c r="B23" t="inlineStr">
        <is>
          <t>Machine check: A CI-style sim harness runs the model (DFT/QM, MD/coarse-grained, FEM, PNP/Poisson-Boltzmann, device/SPICE-like, control sim, ML eval) and asserts a quantitative metric against a numeric threshold with stated uncertainty.</t>
        </is>
      </c>
    </row>
    <row r="24">
      <c r="B24" t="inlineStr">
        <is>
          <t>Sufficiency: Greens a node only below the empirical tripwire; above it, S de-risks but does not discharge.</t>
        </is>
      </c>
    </row>
    <row r="26">
      <c r="A26" t="inlineStr">
        <is>
          <t>E</t>
        </is>
      </c>
      <c r="B26" t="inlineStr">
        <is>
          <t>Empirical acceptance test</t>
        </is>
      </c>
    </row>
    <row r="27">
      <c r="B27" t="inlineStr">
        <is>
          <t>Machine check: Instrument output is parsed to a standard schema (Allotrope ASM / structured JSON) and an automated assertion compares the measured value to the spec; PASS/FAIL is reproducible from raw data.</t>
        </is>
      </c>
    </row>
    <row r="28">
      <c r="B28" t="inlineStr">
        <is>
          <t>Sufficiency: Required to discharge any node above the empirical tripwire.</t>
        </is>
      </c>
    </row>
    <row r="30">
      <c r="A30" t="inlineStr">
        <is>
          <t>Leaf summary (live formulas -&gt; 'VnV Matrix')</t>
        </is>
      </c>
    </row>
    <row r="31">
      <c r="A31" t="inlineStr">
        <is>
          <t>Metric</t>
        </is>
      </c>
      <c r="B31" t="inlineStr">
        <is>
          <t>Count</t>
        </is>
      </c>
    </row>
    <row r="32">
      <c r="A32" t="inlineStr">
        <is>
          <t>Total leaves</t>
        </is>
      </c>
      <c r="B32">
        <f>COUNTA('VnV Matrix'!A2:A1000)</f>
        <v/>
      </c>
    </row>
    <row r="33">
      <c r="A33" t="inlineStr">
        <is>
          <t>Proof (P)</t>
        </is>
      </c>
      <c r="B33">
        <f>COUNTIF('VnV Matrix'!F2:F1000,"P")</f>
        <v/>
      </c>
    </row>
    <row r="34">
      <c r="A34" t="inlineStr">
        <is>
          <t>Simulation (S)</t>
        </is>
      </c>
      <c r="B34">
        <f>COUNTIF('VnV Matrix'!F2:F1000,"S")</f>
        <v/>
      </c>
    </row>
    <row r="35">
      <c r="A35" t="inlineStr">
        <is>
          <t>Empirical (E)</t>
        </is>
      </c>
      <c r="B35">
        <f>COUNTIF('VnV Matrix'!F2:F1000,"E")</f>
        <v/>
      </c>
    </row>
    <row r="36">
      <c r="A36" t="inlineStr">
        <is>
          <t>Empirical-validation flags</t>
        </is>
      </c>
      <c r="B36">
        <f>COUNTIF('VnV Matrix'!J2:J1000,"YES")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Seg</t>
        </is>
      </c>
      <c r="D1" t="inlineStr">
        <is>
          <t>Parent</t>
        </is>
      </c>
      <c r="E1" t="inlineStr">
        <is>
          <t>Kind</t>
        </is>
      </c>
      <c r="F1" t="inlineStr">
        <is>
          <t>V</t>
        </is>
      </c>
      <c r="G1" t="inlineStr">
        <is>
          <t>Verification tool / method</t>
        </is>
      </c>
      <c r="H1" t="inlineStr">
        <is>
          <t>Machine-checkable check (PASS/FAIL)</t>
        </is>
      </c>
      <c r="I1" t="inlineStr">
        <is>
          <t>Acceptance criterion</t>
        </is>
      </c>
      <c r="J1" t="inlineStr">
        <is>
          <t>Empirical?</t>
        </is>
      </c>
      <c r="K1" t="inlineStr">
        <is>
          <t>Empirical reason</t>
        </is>
      </c>
      <c r="L1" t="inlineStr">
        <is>
          <t>TRL now</t>
        </is>
      </c>
      <c r="M1" t="inlineStr">
        <is>
          <t>TRL tgt</t>
        </is>
      </c>
      <c r="N1" t="inlineStr">
        <is>
          <t>Depends on</t>
        </is>
      </c>
      <c r="O1" t="inlineStr">
        <is>
          <t>Div</t>
        </is>
      </c>
      <c r="P1" t="inlineStr">
        <is>
          <t>Open</t>
        </is>
      </c>
      <c r="Q1" t="inlineStr">
        <is>
          <t>Risk</t>
        </is>
      </c>
      <c r="R1" t="inlineStr">
        <is>
          <t>EpiGraph claims</t>
        </is>
      </c>
    </row>
    <row r="2">
      <c r="A2" t="inlineStr">
        <is>
          <t>A1.1</t>
        </is>
      </c>
      <c r="B2" t="inlineStr">
        <is>
          <t>Derive required effective stiffness vs thermal-noise positioning bound</t>
        </is>
      </c>
      <c r="C2" t="inlineStr">
        <is>
          <t>A</t>
        </is>
      </c>
      <c r="D2" t="inlineStr">
        <is>
          <t>A1</t>
        </is>
      </c>
      <c r="E2" t="inlineStr">
        <is>
          <t>leaf</t>
        </is>
      </c>
      <c r="F2" t="inlineStr">
        <is>
          <t>P</t>
        </is>
      </c>
      <c r="G2" t="inlineStr">
        <is>
          <t>Closed-form k &gt;= kBT/sigma^2 (equipartition) + numeric evaluator</t>
        </is>
      </c>
      <c r="H2" t="inlineStr">
        <is>
          <t>Inequality evaluator recomputes k for each sigma target; asserts table values.</t>
        </is>
      </c>
      <c r="I2" t="inlineStr">
        <is>
          <t>Bound table: sigma=3 nm -&gt; k&gt;=~0.46 pN/nm; sigma=0.1 nm (prize) -&gt; k&gt;=~414 pN/nm; sigma=0.03 nm -&gt; k&gt;=~4.6 N/m (kBT=4.14 pN.nm @300K).</t>
        </is>
      </c>
      <c r="J2" t="inlineStr">
        <is>
          <t>no</t>
        </is>
      </c>
      <c r="L2" t="n">
        <v>4</v>
      </c>
      <c r="M2" t="n">
        <v>4</v>
      </c>
      <c r="Q2" t="inlineStr">
        <is>
          <t>Static bound only; bond-formation dwell variance handled in A1.4.</t>
        </is>
      </c>
    </row>
    <row r="3">
      <c r="A3" t="inlineStr">
        <is>
          <t>A1.2</t>
        </is>
      </c>
      <c r="B3" t="inlineStr">
        <is>
          <t>Simulate as-designed lever positional variance at 300 K</t>
        </is>
      </c>
      <c r="C3" t="inlineStr">
        <is>
          <t>A</t>
        </is>
      </c>
      <c r="D3" t="inlineStr">
        <is>
          <t>A1</t>
        </is>
      </c>
      <c r="E3" t="inlineStr">
        <is>
          <t>leaf</t>
        </is>
      </c>
      <c r="F3" t="inlineStr">
        <is>
          <t>S</t>
        </is>
      </c>
      <c r="G3" t="inlineStr">
        <is>
          <t>Coarse-grained/MD (oxDNA/Martini) ensemble</t>
        </is>
      </c>
      <c r="H3" t="inlineStr">
        <is>
          <t>Sim harness asserts sigma_RMS over &gt;=5 seeds with CI.</t>
        </is>
      </c>
      <c r="I3" t="inlineStr">
        <is>
          <t>Simulated sigma_RMS &lt;= 3.0 nm for nominal Gen-1 lever; 95% CI reported.</t>
        </is>
      </c>
      <c r="J3" t="inlineStr">
        <is>
          <t>no</t>
        </is>
      </c>
      <c r="L3" t="n">
        <v>3</v>
      </c>
      <c r="M3" t="n">
        <v>4</v>
      </c>
      <c r="N3" t="inlineStr">
        <is>
          <t>A1.1</t>
        </is>
      </c>
      <c r="Q3" t="inlineStr">
        <is>
          <t>Force-field accuracy for DNA-on-polymer.</t>
        </is>
      </c>
    </row>
    <row r="4">
      <c r="A4" t="inlineStr">
        <is>
          <t>A1.3</t>
        </is>
      </c>
      <c r="B4" t="inlineStr">
        <is>
          <t>Measure as-built positional/angular dispersion (cross-validated)</t>
        </is>
      </c>
      <c r="C4" t="inlineStr">
        <is>
          <t>A</t>
        </is>
      </c>
      <c r="D4" t="inlineStr">
        <is>
          <t>A1</t>
        </is>
      </c>
      <c r="E4" t="inlineStr">
        <is>
          <t>leaf</t>
        </is>
      </c>
      <c r="F4" t="inlineStr">
        <is>
          <t>E</t>
        </is>
      </c>
      <c r="G4" t="inlineStr">
        <is>
          <t>cryo-EM class averaging + smFRET dye-geometry assay</t>
        </is>
      </c>
      <c r="H4" t="inlineStr">
        <is>
          <t>ASM/JSON acceptance test asserts measured sigma &lt;= spec; two methods agree.</t>
        </is>
      </c>
      <c r="I4" t="inlineStr">
        <is>
          <t>Measured sigma &lt;= 3 nm (Gen-1 precursor); prize grade is 0.1 nm (Gen-3+); cryo-EM vs smFRET agree within band.</t>
        </is>
      </c>
      <c r="J4" t="inlineStr">
        <is>
          <t>YES</t>
        </is>
      </c>
      <c r="K4" t="inlineStr">
        <is>
          <t>positional/angular accuracy; TRL3-&gt;4</t>
        </is>
      </c>
      <c r="L4" t="n">
        <v>3</v>
      </c>
      <c r="M4" t="n">
        <v>4</v>
      </c>
      <c r="N4" t="inlineStr">
        <is>
          <t>A1.2</t>
        </is>
      </c>
      <c r="Q4" t="inlineStr">
        <is>
          <t>DNA softness may exceed bound -&gt; triggers A1.4/stiffening.</t>
        </is>
      </c>
      <c r="R4" t="inlineStr">
        <is>
          <t>b106a87a-4a3d-45d7-84cc-01faef30c11a</t>
        </is>
      </c>
    </row>
    <row r="5">
      <c r="A5" t="inlineStr">
        <is>
          <t>A1.4</t>
        </is>
      </c>
      <c r="B5" t="inlineStr">
        <is>
          <t>Feedback-cooling / dwell-averaging analysis to reach sub-nm effective placement</t>
        </is>
      </c>
      <c r="C5" t="inlineStr">
        <is>
          <t>A</t>
        </is>
      </c>
      <c r="D5" t="inlineStr">
        <is>
          <t>A1</t>
        </is>
      </c>
      <c r="E5" t="inlineStr">
        <is>
          <t>leaf</t>
        </is>
      </c>
      <c r="F5" t="inlineStr">
        <is>
          <t>P</t>
        </is>
      </c>
      <c r="G5" t="inlineStr">
        <is>
          <t>Control-theoretic variance-reduction bound vs loop bandwidth &amp; sensor noise</t>
        </is>
      </c>
      <c r="H5" t="inlineStr">
        <is>
          <t>Symbolic/numeric bound asserts achievable variance given (A7) SNR and (A2) bandwidth.</t>
        </is>
      </c>
      <c r="I5" t="inlineStr">
        <is>
          <t>Proof that closed-loop effective placement variance reaches target given measured loop bandwidth; else flag stiffening required. Jointly budget the averaging window N against the &gt;=1000 motions/s rate floor (A2.4) and report the achievable (precision, rate) Pareto point, not precision alone: averaging N~100-400 to reach 1-2 nm caps rate at ~16-630/s unless cold-stiffening feedback or a 3-sigma noise read is invoked.</t>
        </is>
      </c>
      <c r="J5" t="inlineStr">
        <is>
          <t>no</t>
        </is>
      </c>
      <c r="L5" t="n">
        <v>2</v>
      </c>
      <c r="M5" t="n">
        <v>4</v>
      </c>
      <c r="N5" t="inlineStr">
        <is>
          <t>A1.1, A5.2, A7.1</t>
        </is>
      </c>
      <c r="Q5" t="inlineStr">
        <is>
          <t>Feedback cooling limited by sensor SNR (A7).</t>
        </is>
      </c>
    </row>
    <row r="6">
      <c r="A6" t="inlineStr">
        <is>
          <t>A1.5</t>
        </is>
      </c>
      <c r="B6" t="inlineStr">
        <is>
          <t>Repeatability: return-to-target over &gt;=100 actuation cycles</t>
        </is>
      </c>
      <c r="C6" t="inlineStr">
        <is>
          <t>A</t>
        </is>
      </c>
      <c r="D6" t="inlineStr">
        <is>
          <t>A1</t>
        </is>
      </c>
      <c r="E6" t="inlineStr">
        <is>
          <t>leaf</t>
        </is>
      </c>
      <c r="F6" t="inlineStr">
        <is>
          <t>E</t>
        </is>
      </c>
      <c r="G6" t="inlineStr">
        <is>
          <t>Closed-loop bench + FET/AFM readout</t>
        </is>
      </c>
      <c r="H6" t="inlineStr">
        <is>
          <t>Acceptance test asserts 3-sigma return error &lt;= spec across N cycles.</t>
        </is>
      </c>
      <c r="I6" t="inlineStr">
        <is>
          <t>3-sigma cycle-to-cycle repeatability &lt;= target; no monotonic drift beyond tolerance.</t>
        </is>
      </c>
      <c r="J6" t="inlineStr">
        <is>
          <t>YES</t>
        </is>
      </c>
      <c r="K6" t="inlineStr">
        <is>
          <t>positional accuracy; TRL3-&gt;4</t>
        </is>
      </c>
      <c r="L6" t="n">
        <v>2</v>
      </c>
      <c r="M6" t="n">
        <v>4</v>
      </c>
      <c r="N6" t="inlineStr">
        <is>
          <t>A5.3</t>
        </is>
      </c>
      <c r="Q6" t="inlineStr">
        <is>
          <t>Fatigue/creep of DNA/polymer.</t>
        </is>
      </c>
    </row>
    <row r="7">
      <c r="A7" t="inlineStr">
        <is>
          <t>A2.1</t>
        </is>
      </c>
      <c r="B7" t="inlineStr">
        <is>
          <t>Electromechanical model: stroke &amp; blocking force vs gate voltage (HfO2-gated DNA lever)</t>
        </is>
      </c>
      <c r="C7" t="inlineStr">
        <is>
          <t>A</t>
        </is>
      </c>
      <c r="D7" t="inlineStr">
        <is>
          <t>A2</t>
        </is>
      </c>
      <c r="E7" t="inlineStr">
        <is>
          <t>leaf</t>
        </is>
      </c>
      <c r="F7" t="inlineStr">
        <is>
          <t>P</t>
        </is>
      </c>
      <c r="G7" t="inlineStr">
        <is>
          <t>Poisson-Boltzmann electrostatics + Euler-Bernoulli beam, closed form</t>
        </is>
      </c>
      <c r="H7" t="inlineStr">
        <is>
          <t>Symbolic model + evaluator asserts stroke(V) and force(V) within breakdown-safe field.</t>
        </is>
      </c>
      <c r="I7" t="inlineStr">
        <is>
          <t>Analytic stroke &gt;=~3 nm (aspirational ~10 nm; acceptable if solidly repeatable or closed-loop-corrected) and blocking force &gt;= 100 pN at gate field below HfO2 breakdown. Operating point: low-ionic-strength (spermidine Mg2+-free folding &lt;1 mM, or ~2-3 mM Mg2+ with UV thymine-dimer/CPD covalent crosslinking) so the drive field is not screened away; spermidine-folded origami is documented stable under high field pulses. Note: lever length/stroke is NOT the dominant positioning-noise term -- JOINT COMPLIANCE is; budget stiffness at the joints and trade stroke vs amplification freely.</t>
        </is>
      </c>
      <c r="J7" t="inlineStr">
        <is>
          <t>no</t>
        </is>
      </c>
      <c r="L7" t="n">
        <v>3</v>
      </c>
      <c r="M7" t="n">
        <v>4</v>
      </c>
      <c r="Q7" t="inlineStr">
        <is>
          <t>Debye screening at physiological ionic strength.</t>
        </is>
      </c>
      <c r="R7" t="inlineStr">
        <is>
          <t>32699450-4b41-474e-9f4e-cdbf9e3eee17</t>
        </is>
      </c>
    </row>
    <row r="8">
      <c r="A8" t="inlineStr">
        <is>
          <t>A2.2</t>
        </is>
      </c>
      <c r="B8" t="inlineStr">
        <is>
          <t>Field-driven deflection simulation incl. ionic screening</t>
        </is>
      </c>
      <c r="C8" t="inlineStr">
        <is>
          <t>A</t>
        </is>
      </c>
      <c r="D8" t="inlineStr">
        <is>
          <t>A2</t>
        </is>
      </c>
      <c r="E8" t="inlineStr">
        <is>
          <t>leaf</t>
        </is>
      </c>
      <c r="F8" t="inlineStr">
        <is>
          <t>S</t>
        </is>
      </c>
      <c r="G8" t="inlineStr">
        <is>
          <t>Poisson-Nernst-Planck + FEM</t>
        </is>
      </c>
      <c r="H8" t="inlineStr">
        <is>
          <t>Sim harness asserts stroke &amp; force vs voltage curve meets thresholds.</t>
        </is>
      </c>
      <c r="I8" t="inlineStr">
        <is>
          <t>Simulated stroke &gt;=~3 nm (aspirational ~10 nm), force &gt;= 100 pN at &lt;=2 V; screening length consistent with buffer. Evaluate stroke at the low-screening operating point (Mg2+-free / low-Mg + crosslink), not 10-20 mM Mg2+: the longer Debye length there preserves the work-stroke AND unscreens the FET sensor (A7).</t>
        </is>
      </c>
      <c r="J8" t="inlineStr">
        <is>
          <t>no</t>
        </is>
      </c>
      <c r="L8" t="n">
        <v>3</v>
      </c>
      <c r="M8" t="n">
        <v>4</v>
      </c>
      <c r="N8" t="inlineStr">
        <is>
          <t>A2.1</t>
        </is>
      </c>
      <c r="Q8" t="inlineStr">
        <is>
          <t>Mesh/boundary sensitivity near electrode.</t>
        </is>
      </c>
    </row>
    <row r="9">
      <c r="A9" t="inlineStr">
        <is>
          <t>A2.3</t>
        </is>
      </c>
      <c r="B9" t="inlineStr">
        <is>
          <t>Fabricate gated electrode + tethered lever; measure voltage-displacement curve</t>
        </is>
      </c>
      <c r="C9" t="inlineStr">
        <is>
          <t>A</t>
        </is>
      </c>
      <c r="D9" t="inlineStr">
        <is>
          <t>A2</t>
        </is>
      </c>
      <c r="E9" t="inlineStr">
        <is>
          <t>leaf</t>
        </is>
      </c>
      <c r="F9" t="inlineStr">
        <is>
          <t>E</t>
        </is>
      </c>
      <c r="G9" t="inlineStr">
        <is>
          <t>HfO2 ALD gate + DNA-origami lever; FET / high-speed AFM readout</t>
        </is>
      </c>
      <c r="H9" t="inlineStr">
        <is>
          <t>ASM acceptance test asserts reversible stroke &amp; hysteresis vs spec from raw V-x data.</t>
        </is>
      </c>
      <c r="I9" t="inlineStr">
        <is>
          <t>&gt;=5 nm reversible stroke; hysteresis &lt; 20%; reversible over &gt;=10^3 cycles.</t>
        </is>
      </c>
      <c r="J9" t="inlineStr">
        <is>
          <t>YES</t>
        </is>
      </c>
      <c r="K9" t="inlineStr">
        <is>
          <t>force/displacement; TRL3-&gt;4</t>
        </is>
      </c>
      <c r="L9" t="n">
        <v>2</v>
      </c>
      <c r="M9" t="n">
        <v>4</v>
      </c>
      <c r="N9" t="inlineStr">
        <is>
          <t>A2.2</t>
        </is>
      </c>
      <c r="Q9" t="inlineStr">
        <is>
          <t>THE key NDI feasibility gate: first molecular electrical actuator.</t>
        </is>
      </c>
      <c r="R9" t="inlineStr">
        <is>
          <t>4152dcb3-cbcd-486a-9aa0-3961a9529e60</t>
        </is>
      </c>
    </row>
    <row r="10">
      <c r="A10" t="inlineStr">
        <is>
          <t>A2.4</t>
        </is>
      </c>
      <c r="B10" t="inlineStr">
        <is>
          <t>Actuation bandwidth / cutoff frequency measurement</t>
        </is>
      </c>
      <c r="C10" t="inlineStr">
        <is>
          <t>A</t>
        </is>
      </c>
      <c r="D10" t="inlineStr">
        <is>
          <t>A2</t>
        </is>
      </c>
      <c r="E10" t="inlineStr">
        <is>
          <t>leaf</t>
        </is>
      </c>
      <c r="F10" t="inlineStr">
        <is>
          <t>E</t>
        </is>
      </c>
      <c r="G10" t="inlineStr">
        <is>
          <t>Small-signal frequency sweep + lock-in</t>
        </is>
      </c>
      <c r="H10" t="inlineStr">
        <is>
          <t>Acceptance test asserts -3 dB bandwidth &gt;= target.</t>
        </is>
      </c>
      <c r="I10" t="inlineStr">
        <is>
          <t>Small-signal bandwidth &gt;= 1 kHz (matches the prize floor of &gt;=1000 positioning motions/s); roll-off characterized.</t>
        </is>
      </c>
      <c r="J10" t="inlineStr">
        <is>
          <t>YES</t>
        </is>
      </c>
      <c r="K10" t="inlineStr">
        <is>
          <t>SNR/speed; TRL3-&gt;4</t>
        </is>
      </c>
      <c r="L10" t="n">
        <v>2</v>
      </c>
      <c r="M10" t="n">
        <v>4</v>
      </c>
      <c r="N10" t="inlineStr">
        <is>
          <t>A2.3</t>
        </is>
      </c>
      <c r="Q10" t="inlineStr">
        <is>
          <t>Viscous/drag limits at speed.</t>
        </is>
      </c>
    </row>
    <row r="11">
      <c r="A11" t="inlineStr">
        <is>
          <t>A2.5</t>
        </is>
      </c>
      <c r="B11" t="inlineStr">
        <is>
          <t>Dielectric reliability: field across HfO2 below breakdown over duty cycle</t>
        </is>
      </c>
      <c r="C11" t="inlineStr">
        <is>
          <t>A</t>
        </is>
      </c>
      <c r="D11" t="inlineStr">
        <is>
          <t>A2</t>
        </is>
      </c>
      <c r="E11" t="inlineStr">
        <is>
          <t>leaf</t>
        </is>
      </c>
      <c r="F11" t="inlineStr">
        <is>
          <t>P</t>
        </is>
      </c>
      <c r="G11" t="inlineStr">
        <is>
          <t>Field calc + Weibull TDDB model</t>
        </is>
      </c>
      <c r="H11" t="inlineStr">
        <is>
          <t>Evaluator asserts operating field &lt; breakdown with margin over device life.</t>
        </is>
      </c>
      <c r="I11" t="inlineStr">
        <is>
          <t>Operating field &lt;= 50% of HfO2 breakdown; projected MTTF &gt; program duration.</t>
        </is>
      </c>
      <c r="J11" t="inlineStr">
        <is>
          <t>no</t>
        </is>
      </c>
      <c r="L11" t="n">
        <v>4</v>
      </c>
      <c r="M11" t="n">
        <v>5</v>
      </c>
      <c r="N11" t="inlineStr">
        <is>
          <t>A2.1</t>
        </is>
      </c>
      <c r="Q11" t="inlineStr">
        <is>
          <t>Thin-film defects reduce real breakdown.</t>
        </is>
      </c>
    </row>
    <row r="12">
      <c r="A12" t="inlineStr">
        <is>
          <t>A2.6</t>
        </is>
      </c>
      <c r="B12" t="inlineStr">
        <is>
          <t>Backup-actuation trade study (electrochemical / electrowetting / dipole-field)</t>
        </is>
      </c>
      <c r="C12" t="inlineStr">
        <is>
          <t>A</t>
        </is>
      </c>
      <c r="D12" t="inlineStr">
        <is>
          <t>A2</t>
        </is>
      </c>
      <c r="E12" t="inlineStr">
        <is>
          <t>leaf</t>
        </is>
      </c>
      <c r="F12" t="inlineStr">
        <is>
          <t>S</t>
        </is>
      </c>
      <c r="G12" t="inlineStr">
        <is>
          <t>Comparative multiphysics trade model</t>
        </is>
      </c>
      <c r="H12" t="inlineStr">
        <is>
          <t>Harness ranks candidates against stroke/force/speed/footprint thresholds.</t>
        </is>
      </c>
      <c r="I12" t="inlineStr">
        <is>
          <t>&gt;=1 backup mechanism meets A2 thresholds, de-risking single-point reliance on electrostatics.</t>
        </is>
      </c>
      <c r="J12" t="inlineStr">
        <is>
          <t>no</t>
        </is>
      </c>
      <c r="L12" t="n">
        <v>2</v>
      </c>
      <c r="M12" t="n">
        <v>3</v>
      </c>
      <c r="N12" t="inlineStr">
        <is>
          <t>A2.2</t>
        </is>
      </c>
      <c r="Q12" t="inlineStr">
        <is>
          <t>Backups may need different chemistry/process.</t>
        </is>
      </c>
    </row>
    <row r="13">
      <c r="A13" t="inlineStr">
        <is>
          <t>A3.1</t>
        </is>
      </c>
      <c r="B13" t="inlineStr">
        <is>
          <t>Mobility / DOF proof for parallel (delta-type) molecular manipulator</t>
        </is>
      </c>
      <c r="C13" t="inlineStr">
        <is>
          <t>A</t>
        </is>
      </c>
      <c r="D13" t="inlineStr">
        <is>
          <t>A3</t>
        </is>
      </c>
      <c r="E13" t="inlineStr">
        <is>
          <t>leaf</t>
        </is>
      </c>
      <c r="F13" t="inlineStr">
        <is>
          <t>P</t>
        </is>
      </c>
      <c r="G13" t="inlineStr">
        <is>
          <t>Screw theory / Kutzbach criterion rank test</t>
        </is>
      </c>
      <c r="H13" t="inlineStr">
        <is>
          <t>Rank/constraint checker asserts controllable DOF count.</t>
        </is>
      </c>
      <c r="I13" t="inlineStr">
        <is>
          <t>&gt;=3 independently controllable translational DOF; mechanism non-singular at home pose.</t>
        </is>
      </c>
      <c r="J13" t="inlineStr">
        <is>
          <t>no</t>
        </is>
      </c>
      <c r="L13" t="n">
        <v>3</v>
      </c>
      <c r="M13" t="n">
        <v>4</v>
      </c>
      <c r="Q13" t="inlineStr">
        <is>
          <t>Compliant joints reduce effective DOF.</t>
        </is>
      </c>
    </row>
    <row r="14">
      <c r="A14" t="inlineStr">
        <is>
          <t>A3.2</t>
        </is>
      </c>
      <c r="B14" t="inlineStr">
        <is>
          <t>Workspace &amp; singularity map within 100 nm envelope</t>
        </is>
      </c>
      <c r="C14" t="inlineStr">
        <is>
          <t>A</t>
        </is>
      </c>
      <c r="D14" t="inlineStr">
        <is>
          <t>A3</t>
        </is>
      </c>
      <c r="E14" t="inlineStr">
        <is>
          <t>leaf</t>
        </is>
      </c>
      <c r="F14" t="inlineStr">
        <is>
          <t>S</t>
        </is>
      </c>
      <c r="G14" t="inlineStr">
        <is>
          <t>Kinematic + compliant-mechanism FEM sweep</t>
        </is>
      </c>
      <c r="H14" t="inlineStr">
        <is>
          <t>Harness asserts reachable workspace volume &amp; singularity-free core region.</t>
        </is>
      </c>
      <c r="I14" t="inlineStr">
        <is>
          <t>Reachable workspace covers the required 50 nm cube motion volume (per rules); singularity-free core &gt;= X%; device envelope within 100 nm cube.</t>
        </is>
      </c>
      <c r="J14" t="inlineStr">
        <is>
          <t>no</t>
        </is>
      </c>
      <c r="L14" t="n">
        <v>3</v>
      </c>
      <c r="M14" t="n">
        <v>4</v>
      </c>
      <c r="N14" t="inlineStr">
        <is>
          <t>A3.1</t>
        </is>
      </c>
      <c r="Q14" t="inlineStr">
        <is>
          <t>Thermal compliance shrinks usable workspace.</t>
        </is>
      </c>
    </row>
    <row r="15">
      <c r="A15" t="inlineStr">
        <is>
          <t>A3.3</t>
        </is>
      </c>
      <c r="B15" t="inlineStr">
        <is>
          <t>cryo-EM confirmation that as-assembled geometry matches design</t>
        </is>
      </c>
      <c r="C15" t="inlineStr">
        <is>
          <t>A</t>
        </is>
      </c>
      <c r="D15" t="inlineStr">
        <is>
          <t>A3</t>
        </is>
      </c>
      <c r="E15" t="inlineStr">
        <is>
          <t>leaf</t>
        </is>
      </c>
      <c r="F15" t="inlineStr">
        <is>
          <t>E</t>
        </is>
      </c>
      <c r="G15" t="inlineStr">
        <is>
          <t>cryo-EM single-particle reconstruction</t>
        </is>
      </c>
      <c r="H15" t="inlineStr">
        <is>
          <t>ASM acceptance test asserts geometry deviation &lt;= tolerance.</t>
        </is>
      </c>
      <c r="I15" t="inlineStr">
        <is>
          <t>Assembled geometry within tolerance of CAD; correct topology in &gt;= threshold of particles.</t>
        </is>
      </c>
      <c r="J15" t="inlineStr">
        <is>
          <t>YES</t>
        </is>
      </c>
      <c r="K15" t="inlineStr">
        <is>
          <t>geometry/assembly; TRL3-&gt;4</t>
        </is>
      </c>
      <c r="L15" t="n">
        <v>3</v>
      </c>
      <c r="M15" t="n">
        <v>4</v>
      </c>
      <c r="N15" t="inlineStr">
        <is>
          <t>A3.2, C2.2</t>
        </is>
      </c>
      <c r="Q15" t="inlineStr">
        <is>
          <t>Mis-assembly / heterogeneity.</t>
        </is>
      </c>
      <c r="R15" t="inlineStr">
        <is>
          <t>68e0bb37-c8b0-4cd7-b290-5ed08f2634ca, e3c6b041-4899-56cd-9fc9-93deae35d1be</t>
        </is>
      </c>
    </row>
    <row r="16">
      <c r="A16" t="inlineStr">
        <is>
          <t>A4.1</t>
        </is>
      </c>
      <c r="B16" t="inlineStr">
        <is>
          <t>Tooltip grab/release energetics for a defined cargo</t>
        </is>
      </c>
      <c r="C16" t="inlineStr">
        <is>
          <t>A</t>
        </is>
      </c>
      <c r="D16" t="inlineStr">
        <is>
          <t>A4</t>
        </is>
      </c>
      <c r="E16" t="inlineStr">
        <is>
          <t>leaf</t>
        </is>
      </c>
      <c r="F16" t="inlineStr">
        <is>
          <t>S</t>
        </is>
      </c>
      <c r="G16" t="inlineStr">
        <is>
          <t>DFT / enhanced-sampling MD free-energy</t>
        </is>
      </c>
      <c r="H16" t="inlineStr">
        <is>
          <t>Harness asserts deltaG window enabling controlled grab AND release.</t>
        </is>
      </c>
      <c r="I16" t="inlineStr">
        <is>
          <t>Binding deltaG strong enough to hold under thermal load yet releasable by commanded actuation; window quantified.</t>
        </is>
      </c>
      <c r="J16" t="inlineStr">
        <is>
          <t>no</t>
        </is>
      </c>
      <c r="L16" t="n">
        <v>2</v>
      </c>
      <c r="M16" t="n">
        <v>4</v>
      </c>
      <c r="Q16" t="inlineStr">
        <is>
          <t>Release may require force exceeding actuator (couples to A2).</t>
        </is>
      </c>
    </row>
    <row r="17">
      <c r="A17" t="inlineStr">
        <is>
          <t>A4.2</t>
        </is>
      </c>
      <c r="B17" t="inlineStr">
        <is>
          <t>Demonstrate controlled pick-and-place of a nanoscale object</t>
        </is>
      </c>
      <c r="C17" t="inlineStr">
        <is>
          <t>A</t>
        </is>
      </c>
      <c r="D17" t="inlineStr">
        <is>
          <t>A4</t>
        </is>
      </c>
      <c r="E17" t="inlineStr">
        <is>
          <t>leaf</t>
        </is>
      </c>
      <c r="F17" t="inlineStr">
        <is>
          <t>E</t>
        </is>
      </c>
      <c r="G17" t="inlineStr">
        <is>
          <t>Closed-loop manipulation + cryo-EM/AFM verification</t>
        </is>
      </c>
      <c r="H17" t="inlineStr">
        <is>
          <t>Acceptance test asserts object placed at commanded site within tolerance, success-rate &gt;= threshold.</t>
        </is>
      </c>
      <c r="I17" t="inlineStr">
        <is>
          <t>Deterministic placement at commanded site (tolerance per spec) with success rate &gt;= threshold over &gt;= N trials.</t>
        </is>
      </c>
      <c r="J17" t="inlineStr">
        <is>
          <t>YES</t>
        </is>
      </c>
      <c r="K17" t="inlineStr">
        <is>
          <t>positional accuracy; TRL3-&gt;4</t>
        </is>
      </c>
      <c r="L17" t="n">
        <v>1</v>
      </c>
      <c r="M17" t="n">
        <v>4</v>
      </c>
      <c r="N17" t="inlineStr">
        <is>
          <t>A4.1, A5.3</t>
        </is>
      </c>
      <c r="Q17" t="inlineStr">
        <is>
          <t>Closest analogue to the prize's core demonstration; high integration risk.</t>
        </is>
      </c>
    </row>
    <row r="18">
      <c r="A18" t="inlineStr">
        <is>
          <t>A4.3</t>
        </is>
      </c>
      <c r="B18" t="inlineStr">
        <is>
          <t>Low-force tooltip bond-formation feasibility (Track-2 mechanosynthesis link)</t>
        </is>
      </c>
      <c r="C18" t="inlineStr">
        <is>
          <t>A</t>
        </is>
      </c>
      <c r="D18" t="inlineStr">
        <is>
          <t>A4</t>
        </is>
      </c>
      <c r="E18" t="inlineStr">
        <is>
          <t>leaf</t>
        </is>
      </c>
      <c r="F18" t="inlineStr">
        <is>
          <t>S</t>
        </is>
      </c>
      <c r="G18" t="inlineStr">
        <is>
          <t>DFT reaction-path with catalyst; retraction-force estimate</t>
        </is>
      </c>
      <c r="H18" t="inlineStr">
        <is>
          <t>Harness asserts required retraction force &lt;= actuator capability.</t>
        </is>
      </c>
      <c r="I18" t="inlineStr">
        <is>
          <t>Candidate single-site/catalytic reaction with retraction force &lt;= ~100 pN (vs 3-6 nN uncatalyzed); barrier feasible.</t>
        </is>
      </c>
      <c r="J18" t="inlineStr">
        <is>
          <t>no</t>
        </is>
      </c>
      <c r="L18" t="n">
        <v>2</v>
      </c>
      <c r="M18" t="n">
        <v>3</v>
      </c>
      <c r="N18" t="inlineStr">
        <is>
          <t>A2.1</t>
        </is>
      </c>
      <c r="O18" t="inlineStr">
        <is>
          <t>DIV-3</t>
        </is>
      </c>
      <c r="Q18" t="inlineStr">
        <is>
          <t>Catalytic route abandons universal Ge-&gt;Si-&gt;C path (Track-2 complication).</t>
        </is>
      </c>
    </row>
    <row r="19">
      <c r="A19" t="inlineStr">
        <is>
          <t>A5.1</t>
        </is>
      </c>
      <c r="B19" t="inlineStr">
        <is>
          <t>Unique-addressability proof for M actuators via E electrodes (crosstalk bound)</t>
        </is>
      </c>
      <c r="C19" t="inlineStr">
        <is>
          <t>A</t>
        </is>
      </c>
      <c r="D19" t="inlineStr">
        <is>
          <t>A5</t>
        </is>
      </c>
      <c r="E19" t="inlineStr">
        <is>
          <t>leaf</t>
        </is>
      </c>
      <c r="F19" t="inlineStr">
        <is>
          <t>P</t>
        </is>
      </c>
      <c r="G19" t="inlineStr">
        <is>
          <t>Crossbar/multiplex addressing proof + capacitive crosstalk bound</t>
        </is>
      </c>
      <c r="H19" t="inlineStr">
        <is>
          <t>Symbolic/numeric checker asserts unique addressing and crosstalk &lt; noise margin.</t>
        </is>
      </c>
      <c r="I19" t="inlineStr">
        <is>
          <t>Each actuator uniquely addressable; worst-case crosstalk &lt; sensing/actuation noise margin.</t>
        </is>
      </c>
      <c r="J19" t="inlineStr">
        <is>
          <t>no</t>
        </is>
      </c>
      <c r="L19" t="n">
        <v>3</v>
      </c>
      <c r="M19" t="n">
        <v>4</v>
      </c>
      <c r="Q19" t="inlineStr">
        <is>
          <t>Wiring scales poorly with M (couples to E4).</t>
        </is>
      </c>
    </row>
    <row r="20">
      <c r="A20" t="inlineStr">
        <is>
          <t>A5.2</t>
        </is>
      </c>
      <c r="B20" t="inlineStr">
        <is>
          <t>Closed-loop control simulation (plant = A2 actuator + A7 sensor)</t>
        </is>
      </c>
      <c r="C20" t="inlineStr">
        <is>
          <t>A</t>
        </is>
      </c>
      <c r="D20" t="inlineStr">
        <is>
          <t>A5</t>
        </is>
      </c>
      <c r="E20" t="inlineStr">
        <is>
          <t>leaf</t>
        </is>
      </c>
      <c r="F20" t="inlineStr">
        <is>
          <t>S</t>
        </is>
      </c>
      <c r="G20" t="inlineStr">
        <is>
          <t>Control simulation (state-space / MPC)</t>
        </is>
      </c>
      <c r="H20" t="inlineStr">
        <is>
          <t>Harness asserts settling time, steady-state error, and stability margins.</t>
        </is>
      </c>
      <c r="I20" t="inlineStr">
        <is>
          <t>Steady-state error &lt;= target, gain/phase margins adequate, stable under modeled noise.</t>
        </is>
      </c>
      <c r="J20" t="inlineStr">
        <is>
          <t>no</t>
        </is>
      </c>
      <c r="L20" t="n">
        <v>2</v>
      </c>
      <c r="M20" t="n">
        <v>4</v>
      </c>
      <c r="N20" t="inlineStr">
        <is>
          <t>A2.2, A7.2</t>
        </is>
      </c>
      <c r="Q20" t="inlineStr">
        <is>
          <t>Plant model fidelity.</t>
        </is>
      </c>
    </row>
    <row r="21">
      <c r="A21" t="inlineStr">
        <is>
          <t>A5.3</t>
        </is>
      </c>
      <c r="B21" t="inlineStr">
        <is>
          <t>Closed-loop demonstration on a single actuator (command-&gt;move-&gt;sense-&gt;correct)</t>
        </is>
      </c>
      <c r="C21" t="inlineStr">
        <is>
          <t>A</t>
        </is>
      </c>
      <c r="D21" t="inlineStr">
        <is>
          <t>A5</t>
        </is>
      </c>
      <c r="E21" t="inlineStr">
        <is>
          <t>leaf</t>
        </is>
      </c>
      <c r="F21" t="inlineStr">
        <is>
          <t>E</t>
        </is>
      </c>
      <c r="G21" t="inlineStr">
        <is>
          <t>Integrated actuator + FET sensor + controller</t>
        </is>
      </c>
      <c r="H21" t="inlineStr">
        <is>
          <t>Acceptance test asserts closed-loop sigma &lt; open-loop sigma by required factor.</t>
        </is>
      </c>
      <c r="I21" t="inlineStr">
        <is>
          <t>Closed-loop positional sigma reduced &gt;= 2x vs open loop; the 'critical missing element' demonstrated.</t>
        </is>
      </c>
      <c r="J21" t="inlineStr">
        <is>
          <t>YES</t>
        </is>
      </c>
      <c r="K21" t="inlineStr">
        <is>
          <t>positional accuracy; TRL3-&gt;4</t>
        </is>
      </c>
      <c r="L21" t="n">
        <v>1</v>
      </c>
      <c r="M21" t="n">
        <v>4</v>
      </c>
      <c r="N21" t="inlineStr">
        <is>
          <t>A2.3, A7.3, A5.2</t>
        </is>
      </c>
      <c r="Q21" t="inlineStr">
        <is>
          <t>Loop latency vs actuator bandwidth.</t>
        </is>
      </c>
      <c r="R21" t="inlineStr">
        <is>
          <t>0b80c825-6a28-41ad-a895-036c6fc7e227</t>
        </is>
      </c>
    </row>
    <row r="22">
      <c r="A22" t="inlineStr">
        <is>
          <t>A5.4</t>
        </is>
      </c>
      <c r="B22" t="inlineStr">
        <is>
          <t>AI control-model identification &amp; held-out validation</t>
        </is>
      </c>
      <c r="C22" t="inlineStr">
        <is>
          <t>A</t>
        </is>
      </c>
      <c r="D22" t="inlineStr">
        <is>
          <t>A5</t>
        </is>
      </c>
      <c r="E22" t="inlineStr">
        <is>
          <t>leaf</t>
        </is>
      </c>
      <c r="F22" t="inlineStr">
        <is>
          <t>S</t>
        </is>
      </c>
      <c r="G22" t="inlineStr">
        <is>
          <t>System ID / ML surrogate trained on sensor feedback</t>
        </is>
      </c>
      <c r="H22" t="inlineStr">
        <is>
          <t>ML eval harness asserts prediction error &lt;= tolerance on held-out actuation data.</t>
        </is>
      </c>
      <c r="I22" t="inlineStr">
        <is>
          <t>Model predicts displacement within tolerance on held-out set; generalizes across devices.</t>
        </is>
      </c>
      <c r="J22" t="inlineStr">
        <is>
          <t>no</t>
        </is>
      </c>
      <c r="L22" t="n">
        <v>2</v>
      </c>
      <c r="M22" t="n">
        <v>4</v>
      </c>
      <c r="N22" t="inlineStr">
        <is>
          <t>A5.3</t>
        </is>
      </c>
      <c r="Q22" t="inlineStr">
        <is>
          <t>Distribution shift device-to-device.</t>
        </is>
      </c>
    </row>
    <row r="23">
      <c r="A23" t="inlineStr">
        <is>
          <t>A6.1</t>
        </is>
      </c>
      <c r="B23" t="inlineStr">
        <is>
          <t>Per-actuator power &amp; local-heating budget</t>
        </is>
      </c>
      <c r="C23" t="inlineStr">
        <is>
          <t>A</t>
        </is>
      </c>
      <c r="D23" t="inlineStr">
        <is>
          <t>A6</t>
        </is>
      </c>
      <c r="E23" t="inlineStr">
        <is>
          <t>leaf</t>
        </is>
      </c>
      <c r="F23" t="inlineStr">
        <is>
          <t>P</t>
        </is>
      </c>
      <c r="G23" t="inlineStr">
        <is>
          <t>Joule/dielectric loss + heat-diffusion closed form</t>
        </is>
      </c>
      <c r="H23" t="inlineStr">
        <is>
          <t>Evaluator asserts steady-state deltaT &lt; limit.</t>
        </is>
      </c>
      <c r="I23" t="inlineStr">
        <is>
          <t>Local temperature rise &lt; limit at operating duty; aggregate array heat tractable.</t>
        </is>
      </c>
      <c r="J23" t="inlineStr">
        <is>
          <t>no</t>
        </is>
      </c>
      <c r="L23" t="n">
        <v>3</v>
      </c>
      <c r="M23" t="n">
        <v>4</v>
      </c>
      <c r="Q23" t="inlineStr">
        <is>
          <t>Array-level heating in dense layouts.</t>
        </is>
      </c>
    </row>
    <row r="24">
      <c r="A24" t="inlineStr">
        <is>
          <t>A6.2</t>
        </is>
      </c>
      <c r="B24" t="inlineStr">
        <is>
          <t>Electrode electrochemical/electromigration stability at operating bias</t>
        </is>
      </c>
      <c r="C24" t="inlineStr">
        <is>
          <t>A</t>
        </is>
      </c>
      <c r="D24" t="inlineStr">
        <is>
          <t>A6</t>
        </is>
      </c>
      <c r="E24" t="inlineStr">
        <is>
          <t>leaf</t>
        </is>
      </c>
      <c r="F24" t="inlineStr">
        <is>
          <t>S</t>
        </is>
      </c>
      <c r="G24" t="inlineStr">
        <is>
          <t>Electrochemical-window + electromigration model</t>
        </is>
      </c>
      <c r="H24" t="inlineStr">
        <is>
          <t>Harness asserts bias within stability window; no faradaic degradation.</t>
        </is>
      </c>
      <c r="I24" t="inlineStr">
        <is>
          <t>Operating bias within electrochemical window; projected electrode life &gt; program.</t>
        </is>
      </c>
      <c r="J24" t="inlineStr">
        <is>
          <t>no</t>
        </is>
      </c>
      <c r="L24" t="n">
        <v>3</v>
      </c>
      <c r="M24" t="n">
        <v>4</v>
      </c>
      <c r="N24" t="inlineStr">
        <is>
          <t>A2.5</t>
        </is>
      </c>
      <c r="Q24" t="inlineStr">
        <is>
          <t>Buffer electrolysis at higher voltages.</t>
        </is>
      </c>
    </row>
    <row r="25">
      <c r="A25" t="inlineStr">
        <is>
          <t>A7.1</t>
        </is>
      </c>
      <c r="B25" t="inlineStr">
        <is>
          <t>Information-theoretic SNR bound for FET charge-displacement sensing vs bandwidth</t>
        </is>
      </c>
      <c r="C25" t="inlineStr">
        <is>
          <t>A</t>
        </is>
      </c>
      <c r="D25" t="inlineStr">
        <is>
          <t>A7</t>
        </is>
      </c>
      <c r="E25" t="inlineStr">
        <is>
          <t>leaf</t>
        </is>
      </c>
      <c r="F25" t="inlineStr">
        <is>
          <t>P</t>
        </is>
      </c>
      <c r="G25" t="inlineStr">
        <is>
          <t>Noise model (thermal/1-f/shot) + minimum detectable displacement derivation</t>
        </is>
      </c>
      <c r="H25" t="inlineStr">
        <is>
          <t>Evaluator asserts min detectable displacement vs bandwidth B; flags feasibility of sub-3 nm @ target speed.</t>
        </is>
      </c>
      <c r="I25" t="inlineStr">
        <is>
          <t>Closed-form min-detectable-displacement(B); explicit PASS/FAIL on sub-3 nm at &gt;=1 kHz. The SNR bound MUST be computed at the actuator's operating ionic strength: in 10-20 mM Mg2+, screening attenuates the sensed charge ~10-50x; the low-Mg / Mg2+-free + crosslink operating point is required to reach SNR&gt;=10 at &gt;=1 kHz.</t>
        </is>
      </c>
      <c r="J25" t="inlineStr">
        <is>
          <t>no</t>
        </is>
      </c>
      <c r="L25" t="n">
        <v>3</v>
      </c>
      <c r="M25" t="n">
        <v>4</v>
      </c>
      <c r="Q25" t="inlineStr">
        <is>
          <t>Directly addresses NDI's stated open risk.</t>
        </is>
      </c>
      <c r="R25" t="inlineStr">
        <is>
          <t>5ce20c61-7b33-4b26-bab8-2ab322ed0d81</t>
        </is>
      </c>
    </row>
    <row r="26">
      <c r="A26" t="inlineStr">
        <is>
          <t>A7.2</t>
        </is>
      </c>
      <c r="B26" t="inlineStr">
        <is>
          <t>Device simulation of FET sensitivity to lever charge vs distance/screening</t>
        </is>
      </c>
      <c r="C26" t="inlineStr">
        <is>
          <t>A</t>
        </is>
      </c>
      <c r="D26" t="inlineStr">
        <is>
          <t>A7</t>
        </is>
      </c>
      <c r="E26" t="inlineStr">
        <is>
          <t>leaf</t>
        </is>
      </c>
      <c r="F26" t="inlineStr">
        <is>
          <t>S</t>
        </is>
      </c>
      <c r="G26" t="inlineStr">
        <is>
          <t>TCAD / NEGF device sim</t>
        </is>
      </c>
      <c r="H26" t="inlineStr">
        <is>
          <t>Harness asserts transconductance-derived SNR &gt;= target.</t>
        </is>
      </c>
      <c r="I26" t="inlineStr">
        <is>
          <t>Simulated SNR &gt;= 10 at sigma=3 nm and B &gt;= 1 kHz. Simulate at the low-ionic-strength operating point; report Debye length and sensed-charge attenuation vs Mg2+ (and spermidine) concentration.</t>
        </is>
      </c>
      <c r="J26" t="inlineStr">
        <is>
          <t>no</t>
        </is>
      </c>
      <c r="L26" t="n">
        <v>3</v>
      </c>
      <c r="M26" t="n">
        <v>4</v>
      </c>
      <c r="N26" t="inlineStr">
        <is>
          <t>A7.1</t>
        </is>
      </c>
      <c r="Q26" t="inlineStr">
        <is>
          <t>Debye screening kills sensitivity at high ionic strength.</t>
        </is>
      </c>
    </row>
    <row r="27">
      <c r="A27" t="inlineStr">
        <is>
          <t>A7.3</t>
        </is>
      </c>
      <c r="B27" t="inlineStr">
        <is>
          <t>Measure FET displacement-sensing SNR vs speed</t>
        </is>
      </c>
      <c r="C27" t="inlineStr">
        <is>
          <t>A</t>
        </is>
      </c>
      <c r="D27" t="inlineStr">
        <is>
          <t>A7</t>
        </is>
      </c>
      <c r="E27" t="inlineStr">
        <is>
          <t>leaf</t>
        </is>
      </c>
      <c r="F27" t="inlineStr">
        <is>
          <t>E</t>
        </is>
      </c>
      <c r="G27" t="inlineStr">
        <is>
          <t>Fabricated FET adjacent to charged lever; lock-in</t>
        </is>
      </c>
      <c r="H27" t="inlineStr">
        <is>
          <t>ASM acceptance test asserts measured SNR vs bandwidth meets A7.1 bound.</t>
        </is>
      </c>
      <c r="I27" t="inlineStr">
        <is>
          <t>Measured SNR meets derived bound at operating bandwidth; sub-3 nm resolved at &gt;=1 kHz.</t>
        </is>
      </c>
      <c r="J27" t="inlineStr">
        <is>
          <t>YES</t>
        </is>
      </c>
      <c r="K27" t="inlineStr">
        <is>
          <t>SNR; TRL3-&gt;4</t>
        </is>
      </c>
      <c r="L27" t="n">
        <v>2</v>
      </c>
      <c r="M27" t="n">
        <v>4</v>
      </c>
      <c r="N27" t="inlineStr">
        <is>
          <t>A7.2</t>
        </is>
      </c>
      <c r="Q27" t="inlineStr">
        <is>
          <t>Parasitics/1-f noise in real devices.</t>
        </is>
      </c>
    </row>
    <row r="28">
      <c r="A28" t="inlineStr">
        <is>
          <t>A8.1</t>
        </is>
      </c>
      <c r="B28" t="inlineStr">
        <is>
          <t>Envelope proof: assembled arm bounding box &lt;= 100 nm</t>
        </is>
      </c>
      <c r="C28" t="inlineStr">
        <is>
          <t>A</t>
        </is>
      </c>
      <c r="D28" t="inlineStr">
        <is>
          <t>A8</t>
        </is>
      </c>
      <c r="E28" t="inlineStr">
        <is>
          <t>leaf</t>
        </is>
      </c>
      <c r="F28" t="inlineStr">
        <is>
          <t>P</t>
        </is>
      </c>
      <c r="G28" t="inlineStr">
        <is>
          <t>CAD bounding-box / geometry checker</t>
        </is>
      </c>
      <c r="H28" t="inlineStr">
        <is>
          <t>Geometry checker asserts max extent &lt;= 100 nm in all axes.</t>
        </is>
      </c>
      <c r="I28" t="inlineStr">
        <is>
          <t>Assembled manipulator fits &lt;=100 nm cube; off-board control electrodes &amp; anchoring substrate are EXCLUDED from the envelope (rules interpretation confirmed).</t>
        </is>
      </c>
      <c r="J28" t="inlineStr">
        <is>
          <t>no</t>
        </is>
      </c>
      <c r="L28" t="n">
        <v>3</v>
      </c>
      <c r="M28" t="n">
        <v>4</v>
      </c>
      <c r="N28" t="inlineStr">
        <is>
          <t>A3.2</t>
        </is>
      </c>
      <c r="Q28" t="inlineStr">
        <is>
          <t>Functional structure (minus excluded electrodes/anchor) must still close the 100 nm envelope.</t>
        </is>
      </c>
    </row>
    <row r="29">
      <c r="A29" t="inlineStr">
        <is>
          <t>A8.2</t>
        </is>
      </c>
      <c r="B29" t="inlineStr">
        <is>
          <t>Structural rigidity / mechanical mode analysis</t>
        </is>
      </c>
      <c r="C29" t="inlineStr">
        <is>
          <t>A</t>
        </is>
      </c>
      <c r="D29" t="inlineStr">
        <is>
          <t>A8</t>
        </is>
      </c>
      <c r="E29" t="inlineStr">
        <is>
          <t>leaf</t>
        </is>
      </c>
      <c r="F29" t="inlineStr">
        <is>
          <t>S</t>
        </is>
      </c>
      <c r="G29" t="inlineStr">
        <is>
          <t>Normal-mode / FEM modal analysis</t>
        </is>
      </c>
      <c r="H29" t="inlineStr">
        <is>
          <t>Harness asserts no soft mode degrades A1 positioning below spec.</t>
        </is>
      </c>
      <c r="I29" t="inlineStr">
        <is>
          <t>Lowest relevant mode stiffness consistent with A1 stiffness bound; no floppy modes in workspace. Identify the dominant compliance term (joint compliance, not lever length) and budget stiffness at the joints.</t>
        </is>
      </c>
      <c r="J29" t="inlineStr">
        <is>
          <t>no</t>
        </is>
      </c>
      <c r="L29" t="n">
        <v>3</v>
      </c>
      <c r="M29" t="n">
        <v>4</v>
      </c>
      <c r="N29" t="inlineStr">
        <is>
          <t>A1.1</t>
        </is>
      </c>
      <c r="Q29" t="inlineStr">
        <is>
          <t>Compliance (stroke) vs rigidity (precision) tension; key to whether prize-grade arm is reachable.</t>
        </is>
      </c>
    </row>
    <row r="30">
      <c r="A30" t="inlineStr">
        <is>
          <t>A8.3</t>
        </is>
      </c>
      <c r="B30" t="inlineStr">
        <is>
          <t>Operating-environment demonstration (declared medium/temperature)</t>
        </is>
      </c>
      <c r="C30" t="inlineStr">
        <is>
          <t>A</t>
        </is>
      </c>
      <c r="D30" t="inlineStr">
        <is>
          <t>A8</t>
        </is>
      </c>
      <c r="E30" t="inlineStr">
        <is>
          <t>leaf</t>
        </is>
      </c>
      <c r="F30" t="inlineStr">
        <is>
          <t>E</t>
        </is>
      </c>
      <c r="G30" t="inlineStr">
        <is>
          <t>Operation in declared environment (buffer/vacuum/cryo)</t>
        </is>
      </c>
      <c r="H30" t="inlineStr">
        <is>
          <t>Acceptance test asserts function within declared environment per theory of operation.</t>
        </is>
      </c>
      <c r="I30" t="inlineStr">
        <is>
          <t>Device operates to spec in the declared, prize-admissible environment; environment documented.</t>
        </is>
      </c>
      <c r="J30" t="inlineStr">
        <is>
          <t>YES</t>
        </is>
      </c>
      <c r="K30" t="inlineStr">
        <is>
          <t>operation; TRL3-&gt;4</t>
        </is>
      </c>
      <c r="L30" t="n">
        <v>2</v>
      </c>
      <c r="M30" t="n">
        <v>4</v>
      </c>
      <c r="N30" t="inlineStr">
        <is>
          <t>A5.3</t>
        </is>
      </c>
      <c r="P30" t="inlineStr">
        <is>
          <t>TBR-1</t>
        </is>
      </c>
      <c r="Q30" t="inlineStr">
        <is>
          <t>Environment admissibility per rules (TBR-1).</t>
        </is>
      </c>
    </row>
    <row r="31">
      <c r="A31" t="inlineStr">
        <is>
          <t>A.INT</t>
        </is>
      </c>
      <c r="B31" t="inlineStr">
        <is>
          <t>Integrated arm demonstration at prize spec (Gen-3+ prize-closing gate)</t>
        </is>
      </c>
      <c r="C31" t="inlineStr">
        <is>
          <t>A</t>
        </is>
      </c>
      <c r="D31" t="inlineStr">
        <is>
          <t>A</t>
        </is>
      </c>
      <c r="E31" t="inlineStr">
        <is>
          <t>leaf</t>
        </is>
      </c>
      <c r="F31" t="inlineStr">
        <is>
          <t>E</t>
        </is>
      </c>
      <c r="G31" t="inlineStr">
        <is>
          <t>Closed-loop manipulation + cryo-EM/AFM/interferometric position tracking</t>
        </is>
      </c>
      <c r="H31" t="inlineStr">
        <is>
          <t>Acceptance test asserts directed motion sequence within a 50 nm cube at &lt;=0.1 nm accuracy, &gt;=1000 motions/s sustained &gt;=60 s.</t>
        </is>
      </c>
      <c r="I31" t="inlineStr">
        <is>
          <t>Arm executes a directed position sequence anywhere within a 50 nm cube at &lt;=0.1 nm accuracy and &gt;=1000 accurate motions/s for &gt;=60 consecutive seconds (the literal Device-1 spec).</t>
        </is>
      </c>
      <c r="J31" t="inlineStr">
        <is>
          <t>YES</t>
        </is>
      </c>
      <c r="K31" t="inlineStr">
        <is>
          <t>positional accuracy + throughput + endurance; prize-closing</t>
        </is>
      </c>
      <c r="L31" t="n">
        <v>1</v>
      </c>
      <c r="M31" t="n">
        <v>4</v>
      </c>
      <c r="N31" t="inlineStr">
        <is>
          <t>A4.2, A5.3, A1.3, A8.3</t>
        </is>
      </c>
      <c r="Q31" t="inlineStr">
        <is>
          <t>Gen-3+: 0.1 nm at 1 kHz for 60 s vastly exceeds Gen-1 sub-3 nm; gated on stiffening (A8.2/A1.4).</t>
        </is>
      </c>
    </row>
    <row r="32">
      <c r="A32" t="inlineStr">
        <is>
          <t>B6.1</t>
        </is>
      </c>
      <c r="B32" t="inlineStr">
        <is>
          <t>Architecture trade study &amp; feasibility down-select</t>
        </is>
      </c>
      <c r="C32" t="inlineStr">
        <is>
          <t>B</t>
        </is>
      </c>
      <c r="D32" t="inlineStr">
        <is>
          <t>B6</t>
        </is>
      </c>
      <c r="E32" t="inlineStr">
        <is>
          <t>leaf</t>
        </is>
      </c>
      <c r="F32" t="inlineStr">
        <is>
          <t>P</t>
        </is>
      </c>
      <c r="G32" t="inlineStr">
        <is>
          <t>Area/energy/temperature budget model across candidate primitives</t>
        </is>
      </c>
      <c r="H32" t="inlineStr">
        <is>
          <t>Evaluator asserts &gt;=1 architecture closes area+energy+temperature within 50 nm cube.</t>
        </is>
      </c>
      <c r="I32" t="inlineStr">
        <is>
          <t>Down-select &gt;=1 primitive (molecular QCA / donor-SET / molecular-switch crossbar / mechanical rod-logic) that is positionally assemblable AND topographically readable and closes budgets for ~37 XOR-gate-equivalent (94 basic) within 50 nm; DNA strand-displacement ruled out on size/speed.</t>
        </is>
      </c>
      <c r="J32" t="inlineStr">
        <is>
          <t>no</t>
        </is>
      </c>
      <c r="L32" t="n">
        <v>2</v>
      </c>
      <c r="M32" t="n">
        <v>3</v>
      </c>
      <c r="O32" t="inlineStr">
        <is>
          <t>DIV-1</t>
        </is>
      </c>
      <c r="Q32" t="inlineStr">
        <is>
          <t>Reframed (DIV-1): the adder is a build-target for arm-class assembly; the primitive must read out as surface bumps.</t>
        </is>
      </c>
    </row>
    <row r="33">
      <c r="A33" t="inlineStr">
        <is>
          <t>B1.1</t>
        </is>
      </c>
      <c r="B33" t="inlineStr">
        <is>
          <t>Formal equivalence of adder netlist to reference 8-bit adder</t>
        </is>
      </c>
      <c r="C33" t="inlineStr">
        <is>
          <t>B</t>
        </is>
      </c>
      <c r="D33" t="inlineStr">
        <is>
          <t>B1</t>
        </is>
      </c>
      <c r="E33" t="inlineStr">
        <is>
          <t>leaf</t>
        </is>
      </c>
      <c r="F33" t="inlineStr">
        <is>
          <t>P</t>
        </is>
      </c>
      <c r="G33" t="inlineStr">
        <is>
          <t>SAT/SMT/BDD combinational equivalence check</t>
        </is>
      </c>
      <c r="H33" t="inlineStr">
        <is>
          <t>Solver returns UNSAT on miter = formal proof of equivalence over all 2^16 inputs.</t>
        </is>
      </c>
      <c r="I33" t="inlineStr">
        <is>
          <t>Equivalence PROVEN for all 8-bit input pairs (exhaustive/symbolic).</t>
        </is>
      </c>
      <c r="J33" t="inlineStr">
        <is>
          <t>no</t>
        </is>
      </c>
      <c r="L33" t="n">
        <v>4</v>
      </c>
      <c r="M33" t="n">
        <v>5</v>
      </c>
      <c r="N33" t="inlineStr">
        <is>
          <t>B6.1</t>
        </is>
      </c>
      <c r="Q33" t="inlineStr">
        <is>
          <t>Pure logic; independent of physics.</t>
        </is>
      </c>
    </row>
    <row r="34">
      <c r="A34" t="inlineStr">
        <is>
          <t>B1.2</t>
        </is>
      </c>
      <c r="B34" t="inlineStr">
        <is>
          <t>Device-level simulation reproduces full truth table with noise margin</t>
        </is>
      </c>
      <c r="C34" t="inlineStr">
        <is>
          <t>B</t>
        </is>
      </c>
      <c r="D34" t="inlineStr">
        <is>
          <t>B1</t>
        </is>
      </c>
      <c r="E34" t="inlineStr">
        <is>
          <t>leaf</t>
        </is>
      </c>
      <c r="F34" t="inlineStr">
        <is>
          <t>S</t>
        </is>
      </c>
      <c r="G34" t="inlineStr">
        <is>
          <t>Architecture device-physics simulator (QCA engine / SET / SPICE-like)</t>
        </is>
      </c>
      <c r="H34" t="inlineStr">
        <is>
          <t>Harness asserts all 256x256 sums correct AND state-separation &gt; noise margin.</t>
        </is>
      </c>
      <c r="I34" t="inlineStr">
        <is>
          <t>100% correct sums in sim; logic-state separation &gt; k.kBT margin at operating T.</t>
        </is>
      </c>
      <c r="J34" t="inlineStr">
        <is>
          <t>no</t>
        </is>
      </c>
      <c r="L34" t="n">
        <v>2</v>
      </c>
      <c r="M34" t="n">
        <v>4</v>
      </c>
      <c r="N34" t="inlineStr">
        <is>
          <t>B6.1, B2.1</t>
        </is>
      </c>
      <c r="Q34" t="inlineStr">
        <is>
          <t>Sim fidelity of molecular device physics.</t>
        </is>
      </c>
    </row>
    <row r="35">
      <c r="A35" t="inlineStr">
        <is>
          <t>B2.1</t>
        </is>
      </c>
      <c r="B35" t="inlineStr">
        <is>
          <t>Single-primitive device-physics simulation (bistability &amp; switching energy)</t>
        </is>
      </c>
      <c r="C35" t="inlineStr">
        <is>
          <t>B</t>
        </is>
      </c>
      <c r="D35" t="inlineStr">
        <is>
          <t>B2</t>
        </is>
      </c>
      <c r="E35" t="inlineStr">
        <is>
          <t>leaf</t>
        </is>
      </c>
      <c r="F35" t="inlineStr">
        <is>
          <t>S</t>
        </is>
      </c>
      <c r="G35" t="inlineStr">
        <is>
          <t>QM/device sim of one cell/gate</t>
        </is>
      </c>
      <c r="H35" t="inlineStr">
        <is>
          <t>Harness asserts bistable, distinguishable states with switching energy margin.</t>
        </is>
      </c>
      <c r="I35" t="inlineStr">
        <is>
          <t>Primitive bistable; switching energy &gt; kBT.ln2 by required margin at operating T. Reliability floor: the switching-barrier target for correct logic is ~15-30 kBT (bit-error-rate over a full 8-bit add), NOT the kBT.ln2 erasure (Landauer) floor; state the operating temperature this implies (room-T vs cryogenic).</t>
        </is>
      </c>
      <c r="J35" t="inlineStr">
        <is>
          <t>no</t>
        </is>
      </c>
      <c r="L35" t="n">
        <v>2</v>
      </c>
      <c r="M35" t="n">
        <v>4</v>
      </c>
      <c r="N35" t="inlineStr">
        <is>
          <t>B6.1</t>
        </is>
      </c>
      <c r="Q35" t="inlineStr">
        <is>
          <t>Operating temperature may be cryogenic (SET route).</t>
        </is>
      </c>
    </row>
    <row r="36">
      <c r="A36" t="inlineStr">
        <is>
          <t>B2.2</t>
        </is>
      </c>
      <c r="B36" t="inlineStr">
        <is>
          <t>Fabricate &amp; characterize a single primitive (one gate/cell)</t>
        </is>
      </c>
      <c r="C36" t="inlineStr">
        <is>
          <t>B</t>
        </is>
      </c>
      <c r="D36" t="inlineStr">
        <is>
          <t>B2</t>
        </is>
      </c>
      <c r="E36" t="inlineStr">
        <is>
          <t>leaf</t>
        </is>
      </c>
      <c r="F36" t="inlineStr">
        <is>
          <t>E</t>
        </is>
      </c>
      <c r="G36" t="inlineStr">
        <is>
          <t>APM fabrication (STM H-depassivation donor / molecular switch) + transport</t>
        </is>
      </c>
      <c r="H36" t="inlineStr">
        <is>
          <t>ASM acceptance test asserts switching with margin from measured transport data.</t>
        </is>
      </c>
      <c r="I36" t="inlineStr">
        <is>
          <t>Single primitive demonstrates reproducible switching with margin; matches B2.1.</t>
        </is>
      </c>
      <c r="J36" t="inlineStr">
        <is>
          <t>YES</t>
        </is>
      </c>
      <c r="K36" t="inlineStr">
        <is>
          <t>TRL3-&gt;4 device</t>
        </is>
      </c>
      <c r="L36" t="n">
        <v>2</v>
      </c>
      <c r="M36" t="n">
        <v>4</v>
      </c>
      <c r="N36" t="inlineStr">
        <is>
          <t>B2.1</t>
        </is>
      </c>
      <c r="Q36" t="inlineStr">
        <is>
          <t>May require 4.5 K LT-STM/AFM process.</t>
        </is>
      </c>
      <c r="R36" t="inlineStr">
        <is>
          <t>d5cf1040-4cf9-4e53-86d1-3344b38ae721, 5bd37d9e-d987-50d1-9376-2f0df1980944</t>
        </is>
      </c>
    </row>
    <row r="37">
      <c r="A37" t="inlineStr">
        <is>
          <t>B2.3</t>
        </is>
      </c>
      <c r="B37" t="inlineStr">
        <is>
          <t>Bit-error-rate vs energy/temperature bound (Landauer + noise)</t>
        </is>
      </c>
      <c r="C37" t="inlineStr">
        <is>
          <t>B</t>
        </is>
      </c>
      <c r="D37" t="inlineStr">
        <is>
          <t>B2</t>
        </is>
      </c>
      <c r="E37" t="inlineStr">
        <is>
          <t>leaf</t>
        </is>
      </c>
      <c r="F37" t="inlineStr">
        <is>
          <t>P</t>
        </is>
      </c>
      <c r="G37" t="inlineStr">
        <is>
          <t>Thermodynamic/Shannon error bound</t>
        </is>
      </c>
      <c r="H37" t="inlineStr">
        <is>
          <t>Evaluator asserts BER &lt;= target for reliable 8-bit addition.</t>
        </is>
      </c>
      <c r="I37" t="inlineStr">
        <is>
          <t>BER per gate low enough that full 8-bit add succeeds with required probability. Use the ~15-30 kBT reliability barrier (not kBT.ln2) as the BER basis; if room-temperature margins are infeasible, declare cryogenic operation explicitly.</t>
        </is>
      </c>
      <c r="J37" t="inlineStr">
        <is>
          <t>no</t>
        </is>
      </c>
      <c r="L37" t="n">
        <v>3</v>
      </c>
      <c r="M37" t="n">
        <v>4</v>
      </c>
      <c r="N37" t="inlineStr">
        <is>
          <t>B2.1</t>
        </is>
      </c>
      <c r="Q37" t="inlineStr">
        <is>
          <t>Thermal errors dominate at room T for some routes.</t>
        </is>
      </c>
    </row>
    <row r="38">
      <c r="A38" t="inlineStr">
        <is>
          <t>B3.1</t>
        </is>
      </c>
      <c r="B38" t="inlineStr">
        <is>
          <t>Area-closure place-and-route proof within 50 nm cube</t>
        </is>
      </c>
      <c r="C38" t="inlineStr">
        <is>
          <t>B</t>
        </is>
      </c>
      <c r="D38" t="inlineStr">
        <is>
          <t>B3</t>
        </is>
      </c>
      <c r="E38" t="inlineStr">
        <is>
          <t>leaf</t>
        </is>
      </c>
      <c r="F38" t="inlineStr">
        <is>
          <t>P</t>
        </is>
      </c>
      <c r="G38" t="inlineStr">
        <is>
          <t>Packing/place-and-route checker at primitive pitch</t>
        </is>
      </c>
      <c r="H38" t="inlineStr">
        <is>
          <t>Geometry checker asserts gates+wiring fit &lt;=50 nm^3 with margin.</t>
        </is>
      </c>
      <c r="I38" t="inlineStr">
        <is>
          <t>All ~37 XOR-equivalent (or 94 basic) gates + interconnect + bump-output transducers fit within 50 nm cube at chosen pitch.</t>
        </is>
      </c>
      <c r="J38" t="inlineStr">
        <is>
          <t>no</t>
        </is>
      </c>
      <c r="L38" t="n">
        <v>2</v>
      </c>
      <c r="M38" t="n">
        <v>4</v>
      </c>
      <c r="N38" t="inlineStr">
        <is>
          <t>B6.1, B1.1</t>
        </is>
      </c>
      <c r="Q38" t="inlineStr">
        <is>
          <t>Wiring/interconnect dominates area (favors wireless QCA).</t>
        </is>
      </c>
    </row>
    <row r="39">
      <c r="A39" t="inlineStr">
        <is>
          <t>B3.2</t>
        </is>
      </c>
      <c r="B39" t="inlineStr">
        <is>
          <t>Crosstalk / coupling simulation between adjacent devices</t>
        </is>
      </c>
      <c r="C39" t="inlineStr">
        <is>
          <t>B</t>
        </is>
      </c>
      <c r="D39" t="inlineStr">
        <is>
          <t>B3</t>
        </is>
      </c>
      <c r="E39" t="inlineStr">
        <is>
          <t>leaf</t>
        </is>
      </c>
      <c r="F39" t="inlineStr">
        <is>
          <t>S</t>
        </is>
      </c>
      <c r="G39" t="inlineStr">
        <is>
          <t>Electrostatic/quantum coupling sim</t>
        </is>
      </c>
      <c r="H39" t="inlineStr">
        <is>
          <t>Harness asserts inter-device coupling &lt; logic noise margin.</t>
        </is>
      </c>
      <c r="I39" t="inlineStr">
        <is>
          <t>Worst-case neighbor coupling &lt; state-separation margin from B2.1.</t>
        </is>
      </c>
      <c r="J39" t="inlineStr">
        <is>
          <t>no</t>
        </is>
      </c>
      <c r="L39" t="n">
        <v>2</v>
      </c>
      <c r="M39" t="n">
        <v>4</v>
      </c>
      <c r="N39" t="inlineStr">
        <is>
          <t>B3.1</t>
        </is>
      </c>
      <c r="Q39" t="inlineStr">
        <is>
          <t>Dense packing increases coupling.</t>
        </is>
      </c>
    </row>
    <row r="40">
      <c r="A40" t="inlineStr">
        <is>
          <t>B4.1</t>
        </is>
      </c>
      <c r="B40" t="inlineStr">
        <is>
          <t>I/O scheme proof (16-bit input via allowed modality; 8-bit output as surface bumps)</t>
        </is>
      </c>
      <c r="C40" t="inlineStr">
        <is>
          <t>B</t>
        </is>
      </c>
      <c r="D40" t="inlineStr">
        <is>
          <t>B4</t>
        </is>
      </c>
      <c r="E40" t="inlineStr">
        <is>
          <t>leaf</t>
        </is>
      </c>
      <c r="F40" t="inlineStr">
        <is>
          <t>P</t>
        </is>
      </c>
      <c r="G40" t="inlineStr">
        <is>
          <t>I/O modality + output-transduction proof</t>
        </is>
      </c>
      <c r="H40" t="inlineStr">
        <is>
          <t>Checker asserts 16-bit input via an allowed modality and 8-bit topographic (bump) output are resolvable within the rules.</t>
        </is>
      </c>
      <c r="I40" t="inlineStr">
        <is>
          <t>Input via an allowed modality (acoustic/electrical/optical/diffusive-chemical/mechanical-single-axis); 8-bit output (overflow discarded) rendered as raised nm-scale bumps on an atomically precise level surface, SPM-readable.</t>
        </is>
      </c>
      <c r="J40" t="inlineStr">
        <is>
          <t>no</t>
        </is>
      </c>
      <c r="L40" t="n">
        <v>2</v>
      </c>
      <c r="M40" t="n">
        <v>4</v>
      </c>
      <c r="N40" t="inlineStr">
        <is>
          <t>B3.1</t>
        </is>
      </c>
      <c r="Q40" t="inlineStr">
        <is>
          <t>Bump-transduction (compute state -&gt; surface topography) is itself a design problem.</t>
        </is>
      </c>
    </row>
    <row r="41">
      <c r="A41" t="inlineStr">
        <is>
          <t>B4.2</t>
        </is>
      </c>
      <c r="B41" t="inlineStr">
        <is>
          <t>Demonstrate 1-bit full-adder slice (input set + output read)</t>
        </is>
      </c>
      <c r="C41" t="inlineStr">
        <is>
          <t>B</t>
        </is>
      </c>
      <c r="D41" t="inlineStr">
        <is>
          <t>B4</t>
        </is>
      </c>
      <c r="E41" t="inlineStr">
        <is>
          <t>leaf</t>
        </is>
      </c>
      <c r="F41" t="inlineStr">
        <is>
          <t>E</t>
        </is>
      </c>
      <c r="G41" t="inlineStr">
        <is>
          <t>Fabricated full-adder cell + I/O</t>
        </is>
      </c>
      <c r="H41" t="inlineStr">
        <is>
          <t>Acceptance test asserts correct sum+carry for all 8 input combinations.</t>
        </is>
      </c>
      <c r="I41" t="inlineStr">
        <is>
          <t>1-bit full adder renders correct sum &amp; carry-out as surface bumps for all 8 input combinations; building block validated.</t>
        </is>
      </c>
      <c r="J41" t="inlineStr">
        <is>
          <t>YES</t>
        </is>
      </c>
      <c r="K41" t="inlineStr">
        <is>
          <t>TRL3-&gt;4 device</t>
        </is>
      </c>
      <c r="L41" t="n">
        <v>1</v>
      </c>
      <c r="M41" t="n">
        <v>4</v>
      </c>
      <c r="N41" t="inlineStr">
        <is>
          <t>B2.2, B4.1</t>
        </is>
      </c>
      <c r="Q41" t="inlineStr">
        <is>
          <t>Integration of I/O + bump transduction with the cell.</t>
        </is>
      </c>
    </row>
    <row r="42">
      <c r="A42" t="inlineStr">
        <is>
          <t>B5.1</t>
        </is>
      </c>
      <c r="B42" t="inlineStr">
        <is>
          <t>Energy/heat per addition &amp; integrity budget</t>
        </is>
      </c>
      <c r="C42" t="inlineStr">
        <is>
          <t>B</t>
        </is>
      </c>
      <c r="D42" t="inlineStr">
        <is>
          <t>B5</t>
        </is>
      </c>
      <c r="E42" t="inlineStr">
        <is>
          <t>leaf</t>
        </is>
      </c>
      <c r="F42" t="inlineStr">
        <is>
          <t>P</t>
        </is>
      </c>
      <c r="G42" t="inlineStr">
        <is>
          <t>Energy-per-op + heat-diffusion model</t>
        </is>
      </c>
      <c r="H42" t="inlineStr">
        <is>
          <t>Evaluator asserts deltaT &lt; limit at required throughput.</t>
        </is>
      </c>
      <c r="I42" t="inlineStr">
        <is>
          <t>Energy/op and heat within limits for the declared throughput.</t>
        </is>
      </c>
      <c r="J42" t="inlineStr">
        <is>
          <t>no</t>
        </is>
      </c>
      <c r="L42" t="n">
        <v>3</v>
      </c>
      <c r="M42" t="n">
        <v>4</v>
      </c>
      <c r="N42" t="inlineStr">
        <is>
          <t>B2.3</t>
        </is>
      </c>
      <c r="Q42" t="inlineStr">
        <is>
          <t>Cooling of a 50 nm hotspot.</t>
        </is>
      </c>
    </row>
    <row r="43">
      <c r="A43" t="inlineStr">
        <is>
          <t>B.INT</t>
        </is>
      </c>
      <c r="B43" t="inlineStr">
        <is>
          <t>Integrated 8-bit adder demo (&lt;=50 nm; exhaustive 65,536 inputs; bump output)</t>
        </is>
      </c>
      <c r="C43" t="inlineStr">
        <is>
          <t>B</t>
        </is>
      </c>
      <c r="D43" t="inlineStr">
        <is>
          <t>B</t>
        </is>
      </c>
      <c r="E43" t="inlineStr">
        <is>
          <t>leaf</t>
        </is>
      </c>
      <c r="F43" t="inlineStr">
        <is>
          <t>E</t>
        </is>
      </c>
      <c r="G43" t="inlineStr">
        <is>
          <t>Full device + SPM topographic readout</t>
        </is>
      </c>
      <c r="H43" t="inlineStr">
        <is>
          <t>Acceptance test asserts correct 8-bit sum (overflow discarded) for ALL 65,536 input pairs, read as surface bumps; envelope &lt;=50 nm verified.</t>
        </is>
      </c>
      <c r="I43" t="inlineStr">
        <is>
          <t>Adder returns correct 8-bit sum (overflow discarded) for all 65,536 (2^16) input pairs, output as raised nm-scale bumps on an atomically precise level surface; device &lt;=50 nm; produced by arm-class positional assembly.</t>
        </is>
      </c>
      <c r="J43" t="inlineStr">
        <is>
          <t>YES</t>
        </is>
      </c>
      <c r="K43" t="inlineStr">
        <is>
          <t>prize-closing demonstration; exhaustive; TRL3-&gt;4</t>
        </is>
      </c>
      <c r="L43" t="n">
        <v>1</v>
      </c>
      <c r="M43" t="n">
        <v>4</v>
      </c>
      <c r="N43" t="inlineStr">
        <is>
          <t>B1.2, B3.2, B4.2, B5.1, A.INT, A4.3</t>
        </is>
      </c>
      <c r="O43" t="inlineStr">
        <is>
          <t>DIV-1</t>
        </is>
      </c>
      <c r="Q43" t="inlineStr">
        <is>
          <t>Prize-closing gate for Device 2; depends on Gen-3+ arm/mechanosynthesis capability to build it.</t>
        </is>
      </c>
    </row>
    <row r="44">
      <c r="A44" t="inlineStr">
        <is>
          <t>C1.1</t>
        </is>
      </c>
      <c r="B44" t="inlineStr">
        <is>
          <t>Yield-budget proof: max tolerable per-step defect rate for &gt;=32 good devices</t>
        </is>
      </c>
      <c r="C44" t="inlineStr">
        <is>
          <t>C</t>
        </is>
      </c>
      <c r="D44" t="inlineStr">
        <is>
          <t>C1</t>
        </is>
      </c>
      <c r="E44" t="inlineStr">
        <is>
          <t>leaf</t>
        </is>
      </c>
      <c r="F44" t="inlineStr">
        <is>
          <t>P</t>
        </is>
      </c>
      <c r="G44" t="inlineStr">
        <is>
          <t>Yield model y^N + Monte-Carlo</t>
        </is>
      </c>
      <c r="H44" t="inlineStr">
        <is>
          <t>Evaluator asserts required per-step yield for 32 devices at confidence c; flags infeasible routes.</t>
        </is>
      </c>
      <c r="I44" t="inlineStr">
        <is>
          <t>Per-step yield target derived for N steps to deliver 32 devices at confidence c (e.g., 99%); architecture flagged if infeasible.</t>
        </is>
      </c>
      <c r="J44" t="inlineStr">
        <is>
          <t>no</t>
        </is>
      </c>
      <c r="L44" t="n">
        <v>3</v>
      </c>
      <c r="M44" t="n">
        <v>4</v>
      </c>
      <c r="Q44" t="inlineStr">
        <is>
          <t>Serial SPM N huge -&gt; favors self-assembly + selection.</t>
        </is>
      </c>
    </row>
    <row r="45">
      <c r="A45" t="inlineStr">
        <is>
          <t>C2.1</t>
        </is>
      </c>
      <c r="B45" t="inlineStr">
        <is>
          <t>Hierarchical self-assembly yield simulation (staged folding/binding)</t>
        </is>
      </c>
      <c r="C45" t="inlineStr">
        <is>
          <t>C</t>
        </is>
      </c>
      <c r="D45" t="inlineStr">
        <is>
          <t>C2</t>
        </is>
      </c>
      <c r="E45" t="inlineStr">
        <is>
          <t>leaf</t>
        </is>
      </c>
      <c r="F45" t="inlineStr">
        <is>
          <t>S</t>
        </is>
      </c>
      <c r="G45" t="inlineStr">
        <is>
          <t>Kinetic/thermodynamic assembly sim</t>
        </is>
      </c>
      <c r="H45" t="inlineStr">
        <is>
          <t>Harness asserts predicted correctly-formed fraction &gt;= threshold.</t>
        </is>
      </c>
      <c r="I45" t="inlineStr">
        <is>
          <t>Predicted correctly-assembled fraction &gt;= threshold consistent with C1 budget.</t>
        </is>
      </c>
      <c r="J45" t="inlineStr">
        <is>
          <t>no</t>
        </is>
      </c>
      <c r="L45" t="n">
        <v>2</v>
      </c>
      <c r="M45" t="n">
        <v>4</v>
      </c>
      <c r="N45" t="inlineStr">
        <is>
          <t>C1.1</t>
        </is>
      </c>
      <c r="Q45" t="inlineStr">
        <is>
          <t>Hierarchical assembly unproven in this on-chip context.</t>
        </is>
      </c>
    </row>
    <row r="46">
      <c r="A46" t="inlineStr">
        <is>
          <t>C2.2</t>
        </is>
      </c>
      <c r="B46" t="inlineStr">
        <is>
          <t>Measure bulk assembly yield (gel / AFM / cryo-EM particle classification)</t>
        </is>
      </c>
      <c r="C46" t="inlineStr">
        <is>
          <t>C</t>
        </is>
      </c>
      <c r="D46" t="inlineStr">
        <is>
          <t>C2</t>
        </is>
      </c>
      <c r="E46" t="inlineStr">
        <is>
          <t>leaf</t>
        </is>
      </c>
      <c r="F46" t="inlineStr">
        <is>
          <t>E</t>
        </is>
      </c>
      <c r="G46" t="inlineStr">
        <is>
          <t>Bulk characterization + cryo-EM classification</t>
        </is>
      </c>
      <c r="H46" t="inlineStr">
        <is>
          <t>ASM acceptance test asserts correctly-formed fraction &gt;= threshold.</t>
        </is>
      </c>
      <c r="I46" t="inlineStr">
        <is>
          <t>Measured correctly-formed fraction &gt;= threshold; defect modes catalogued.</t>
        </is>
      </c>
      <c r="J46" t="inlineStr">
        <is>
          <t>YES</t>
        </is>
      </c>
      <c r="K46" t="inlineStr">
        <is>
          <t>yield; TRL3-&gt;4</t>
        </is>
      </c>
      <c r="L46" t="n">
        <v>3</v>
      </c>
      <c r="M46" t="n">
        <v>4</v>
      </c>
      <c r="N46" t="inlineStr">
        <is>
          <t>C2.1</t>
        </is>
      </c>
      <c r="Q46" t="inlineStr">
        <is>
          <t>Low yield -&gt; heavier reliance on C3.</t>
        </is>
      </c>
      <c r="R46" t="inlineStr">
        <is>
          <t>1405b2bd-1b28-4b91-93e8-70884158f84a</t>
        </is>
      </c>
    </row>
    <row r="47">
      <c r="A47" t="inlineStr">
        <is>
          <t>C3.1</t>
        </is>
      </c>
      <c r="B47" t="inlineStr">
        <is>
          <t>Selection/purification to obtain 32 spec-conforming devices</t>
        </is>
      </c>
      <c r="C47" t="inlineStr">
        <is>
          <t>C</t>
        </is>
      </c>
      <c r="D47" t="inlineStr">
        <is>
          <t>C3</t>
        </is>
      </c>
      <c r="E47" t="inlineStr">
        <is>
          <t>leaf</t>
        </is>
      </c>
      <c r="F47" t="inlineStr">
        <is>
          <t>E</t>
        </is>
      </c>
      <c r="G47" t="inlineStr">
        <is>
          <t>Affinity/size selection + per-device screen</t>
        </is>
      </c>
      <c r="H47" t="inlineStr">
        <is>
          <t>Acceptance test asserts 32 devices each pass A &amp; B acceptance.</t>
        </is>
      </c>
      <c r="I47" t="inlineStr">
        <is>
          <t>32 devices isolated, each independently passing SEG-A (and SEG-B) acceptance AND able to survive destructive testing by judges (no hero-device reuse).</t>
        </is>
      </c>
      <c r="J47" t="inlineStr">
        <is>
          <t>YES</t>
        </is>
      </c>
      <c r="K47" t="inlineStr">
        <is>
          <t>yield; prize-closing</t>
        </is>
      </c>
      <c r="L47" t="n">
        <v>2</v>
      </c>
      <c r="M47" t="n">
        <v>5</v>
      </c>
      <c r="N47" t="inlineStr">
        <is>
          <t>C2.2, A4.2</t>
        </is>
      </c>
      <c r="Q47" t="inlineStr">
        <is>
          <t>Per-device screening throughput.</t>
        </is>
      </c>
    </row>
    <row r="48">
      <c r="A48" t="inlineStr">
        <is>
          <t>C4.1</t>
        </is>
      </c>
      <c r="B48" t="inlineStr">
        <is>
          <t>Device-to-device reproducibility distribution across 32 copies</t>
        </is>
      </c>
      <c r="C48" t="inlineStr">
        <is>
          <t>C</t>
        </is>
      </c>
      <c r="D48" t="inlineStr">
        <is>
          <t>C4</t>
        </is>
      </c>
      <c r="E48" t="inlineStr">
        <is>
          <t>leaf</t>
        </is>
      </c>
      <c r="F48" t="inlineStr">
        <is>
          <t>E</t>
        </is>
      </c>
      <c r="G48" t="inlineStr">
        <is>
          <t>Batch metrology of key metrics</t>
        </is>
      </c>
      <c r="H48" t="inlineStr">
        <is>
          <t>Acceptance test asserts all 32 within spec band (+/- tolerance on stroke, SNR, accuracy).</t>
        </is>
      </c>
      <c r="I48" t="inlineStr">
        <is>
          <t>All 32 devices within spec band on key metrics; distribution reported.</t>
        </is>
      </c>
      <c r="J48" t="inlineStr">
        <is>
          <t>YES</t>
        </is>
      </c>
      <c r="K48" t="inlineStr">
        <is>
          <t>yield/accuracy; prize-closing</t>
        </is>
      </c>
      <c r="L48" t="n">
        <v>2</v>
      </c>
      <c r="M48" t="n">
        <v>5</v>
      </c>
      <c r="N48" t="inlineStr">
        <is>
          <t>C3.1</t>
        </is>
      </c>
      <c r="Q48" t="inlineStr">
        <is>
          <t>Tail devices fail spec.</t>
        </is>
      </c>
    </row>
    <row r="49">
      <c r="A49" t="inlineStr">
        <is>
          <t>C5.1</t>
        </is>
      </c>
      <c r="B49" t="inlineStr">
        <is>
          <t>[Roadmap link] Self-replication / exponential scale-up beyond x32 (Gen-3)</t>
        </is>
      </c>
      <c r="C49" t="inlineStr">
        <is>
          <t>C</t>
        </is>
      </c>
      <c r="D49" t="inlineStr">
        <is>
          <t>C3</t>
        </is>
      </c>
      <c r="E49" t="inlineStr">
        <is>
          <t>leaf</t>
        </is>
      </c>
      <c r="F49" t="inlineStr">
        <is>
          <t>P</t>
        </is>
      </c>
      <c r="G49" t="inlineStr">
        <is>
          <t>Closure/replication-fraction analysis</t>
        </is>
      </c>
      <c r="H49" t="inlineStr">
        <is>
          <t>Evaluator asserts replication fraction &amp; closure assumptions; out-of-prize-scope marker.</t>
        </is>
      </c>
      <c r="I49" t="inlineStr">
        <is>
          <t>Documented as NDI Gen-3 path (hierarchical convergent assembly); OUT of prize scope (rules: self-replication NOT required) but in roadmap.</t>
        </is>
      </c>
      <c r="J49" t="inlineStr">
        <is>
          <t>no</t>
        </is>
      </c>
      <c r="L49" t="n">
        <v>1</v>
      </c>
      <c r="M49" t="n">
        <v>2</v>
      </c>
      <c r="N49" t="inlineStr">
        <is>
          <t>C4.1</t>
        </is>
      </c>
      <c r="Q49" t="inlineStr">
        <is>
          <t>Bootstrapping/closure unsolved; long horizon.</t>
        </is>
      </c>
      <c r="R49" t="inlineStr">
        <is>
          <t>7ab290df-9be7-442b-9254-beac38b625d7</t>
        </is>
      </c>
    </row>
    <row r="50">
      <c r="A50" t="inlineStr">
        <is>
          <t>D1.1</t>
        </is>
      </c>
      <c r="B50" t="inlineStr">
        <is>
          <t>Metrology adequacy proof: tool resolution &lt; required tolerance per measured quantity</t>
        </is>
      </c>
      <c r="C50" t="inlineStr">
        <is>
          <t>D</t>
        </is>
      </c>
      <c r="D50" t="inlineStr">
        <is>
          <t>D1</t>
        </is>
      </c>
      <c r="E50" t="inlineStr">
        <is>
          <t>leaf</t>
        </is>
      </c>
      <c r="F50" t="inlineStr">
        <is>
          <t>P</t>
        </is>
      </c>
      <c r="G50" t="inlineStr">
        <is>
          <t>Resolution-vs-tolerance comparison</t>
        </is>
      </c>
      <c r="H50" t="inlineStr">
        <is>
          <t>Evaluator asserts each tool's resolution &lt; spec tolerance; flags gaps.</t>
        </is>
      </c>
      <c r="I50" t="inlineStr">
        <is>
          <t>Each measured quantity assigned a tool whose resolution beats its tolerance (cryo-EM ~few A; smFRET 2-8 nm; AFM 3-8 nm gap); 0.1 nm prize accuracy flagged as a metrology challenge.</t>
        </is>
      </c>
      <c r="J50" t="inlineStr">
        <is>
          <t>no</t>
        </is>
      </c>
      <c r="L50" t="n">
        <v>5</v>
      </c>
      <c r="M50" t="n">
        <v>6</v>
      </c>
      <c r="Q50" t="inlineStr">
        <is>
          <t>0.1 nm verification at &gt;=1 kHz may exceed current metrology; flag gap.</t>
        </is>
      </c>
      <c r="R50" t="inlineStr">
        <is>
          <t>7d76c62c-8be0-4e08-8145-7d76127ccf16</t>
        </is>
      </c>
    </row>
    <row r="51">
      <c r="A51" t="inlineStr">
        <is>
          <t>D2.1</t>
        </is>
      </c>
      <c r="B51" t="inlineStr">
        <is>
          <t>Screening design: power analysis for bulk ensemble vibration screen</t>
        </is>
      </c>
      <c r="C51" t="inlineStr">
        <is>
          <t>D</t>
        </is>
      </c>
      <c r="D51" t="inlineStr">
        <is>
          <t>D2</t>
        </is>
      </c>
      <c r="E51" t="inlineStr">
        <is>
          <t>leaf</t>
        </is>
      </c>
      <c r="F51" t="inlineStr">
        <is>
          <t>S</t>
        </is>
      </c>
      <c r="G51" t="inlineStr">
        <is>
          <t>Statistical power analysis</t>
        </is>
      </c>
      <c r="H51" t="inlineStr">
        <is>
          <t>Harness asserts sample size resolves target effect at required power.</t>
        </is>
      </c>
      <c r="I51" t="inlineStr">
        <is>
          <t>Bulk screen sized to detect target stiffness/displacement effect at &gt;=80% power; throughput estimated.</t>
        </is>
      </c>
      <c r="J51" t="inlineStr">
        <is>
          <t>no</t>
        </is>
      </c>
      <c r="L51" t="n">
        <v>4</v>
      </c>
      <c r="M51" t="n">
        <v>5</v>
      </c>
      <c r="Q51" t="inlineStr">
        <is>
          <t>Ensemble averaging hides per-device tails.</t>
        </is>
      </c>
    </row>
    <row r="52">
      <c r="A52" t="inlineStr">
        <is>
          <t>D2.2</t>
        </is>
      </c>
      <c r="B52" t="inlineStr">
        <is>
          <t>Single-molecule AFM force/displacement on down-selected designs</t>
        </is>
      </c>
      <c r="C52" t="inlineStr">
        <is>
          <t>D</t>
        </is>
      </c>
      <c r="D52" t="inlineStr">
        <is>
          <t>D2</t>
        </is>
      </c>
      <c r="E52" t="inlineStr">
        <is>
          <t>leaf</t>
        </is>
      </c>
      <c r="F52" t="inlineStr">
        <is>
          <t>E</t>
        </is>
      </c>
      <c r="G52" t="inlineStr">
        <is>
          <t>Single-molecule force spectroscopy (AFM)</t>
        </is>
      </c>
      <c r="H52" t="inlineStr">
        <is>
          <t>ASM acceptance test asserts measured force/displacement matches sim within tolerance.</t>
        </is>
      </c>
      <c r="I52" t="inlineStr">
        <is>
          <t>Best designs' force/displacement match simulation within tolerance; precise characterization recorded.</t>
        </is>
      </c>
      <c r="J52" t="inlineStr">
        <is>
          <t>YES</t>
        </is>
      </c>
      <c r="K52" t="inlineStr">
        <is>
          <t>force/displacement; TRL3-&gt;4</t>
        </is>
      </c>
      <c r="L52" t="n">
        <v>3</v>
      </c>
      <c r="M52" t="n">
        <v>5</v>
      </c>
      <c r="N52" t="inlineStr">
        <is>
          <t>D2.1</t>
        </is>
      </c>
      <c r="Q52" t="inlineStr">
        <is>
          <t>Tip/coupling artifacts.</t>
        </is>
      </c>
    </row>
    <row r="53">
      <c r="A53" t="inlineStr">
        <is>
          <t>D3.1</t>
        </is>
      </c>
      <c r="B53" t="inlineStr">
        <is>
          <t>Automated acceptance-test harness: instrument output -&gt; ASM JSON -&gt; assertion</t>
        </is>
      </c>
      <c r="C53" t="inlineStr">
        <is>
          <t>D</t>
        </is>
      </c>
      <c r="D53" t="inlineStr">
        <is>
          <t>D3</t>
        </is>
      </c>
      <c r="E53" t="inlineStr">
        <is>
          <t>leaf</t>
        </is>
      </c>
      <c r="F53" t="inlineStr">
        <is>
          <t>S</t>
        </is>
      </c>
      <c r="G53" t="inlineStr">
        <is>
          <t>Allotrope ASM converter + assertion engine (instrument-data-to-allotrope)</t>
        </is>
      </c>
      <c r="H53" t="inlineStr">
        <is>
          <t>Harness deterministically PASS/FAIL a node from raw instrument data; versioned spec thresholds.</t>
        </is>
      </c>
      <c r="I53" t="inlineStr">
        <is>
          <t>Given raw instrument file + node spec, harness emits reproducible PASS/FAIL; makes empirical leaves machine-verifiable.</t>
        </is>
      </c>
      <c r="J53" t="inlineStr">
        <is>
          <t>no</t>
        </is>
      </c>
      <c r="L53" t="n">
        <v>4</v>
      </c>
      <c r="M53" t="n">
        <v>6</v>
      </c>
      <c r="Q53" t="inlineStr">
        <is>
          <t>Schema coverage across instruments.</t>
        </is>
      </c>
    </row>
    <row r="54">
      <c r="A54" t="inlineStr">
        <is>
          <t>D4.1</t>
        </is>
      </c>
      <c r="B54" t="inlineStr">
        <is>
          <t>Theory-of-operation completeness &amp; independent-rebuild check</t>
        </is>
      </c>
      <c r="C54" t="inlineStr">
        <is>
          <t>D</t>
        </is>
      </c>
      <c r="D54" t="inlineStr">
        <is>
          <t>D4</t>
        </is>
      </c>
      <c r="E54" t="inlineStr">
        <is>
          <t>leaf</t>
        </is>
      </c>
      <c r="F54" t="inlineStr">
        <is>
          <t>E</t>
        </is>
      </c>
      <c r="G54" t="inlineStr">
        <is>
          <t>Documentation audit + independent reconstruction</t>
        </is>
      </c>
      <c r="H54" t="inlineStr">
        <is>
          <t>Acceptance test asserts an independent team rebuilds a device from the package and passes acceptance.</t>
        </is>
      </c>
      <c r="I54" t="inlineStr">
        <is>
          <t>Submission package complete per Foresight rules; independent rebuild reproduces a passing device.</t>
        </is>
      </c>
      <c r="J54" t="inlineStr">
        <is>
          <t>YES</t>
        </is>
      </c>
      <c r="K54" t="inlineStr">
        <is>
          <t>reproducibility; prize submission</t>
        </is>
      </c>
      <c r="L54" t="n">
        <v>2</v>
      </c>
      <c r="M54" t="n">
        <v>5</v>
      </c>
      <c r="N54" t="inlineStr">
        <is>
          <t>A4.2, B.INT</t>
        </is>
      </c>
      <c r="P54" t="inlineStr">
        <is>
          <t>TBR-1</t>
        </is>
      </c>
      <c r="Q54" t="inlineStr">
        <is>
          <t>Tacit knowledge not captured.</t>
        </is>
      </c>
    </row>
    <row r="55">
      <c r="A55" t="inlineStr">
        <is>
          <t>E1.1</t>
        </is>
      </c>
      <c r="B55" t="inlineStr">
        <is>
          <t>Fabricate e-beam-patterned electrode array at required pitch &amp; registration</t>
        </is>
      </c>
      <c r="C55" t="inlineStr">
        <is>
          <t>E</t>
        </is>
      </c>
      <c r="D55" t="inlineStr">
        <is>
          <t>E1</t>
        </is>
      </c>
      <c r="E55" t="inlineStr">
        <is>
          <t>leaf</t>
        </is>
      </c>
      <c r="F55" t="inlineStr">
        <is>
          <t>E</t>
        </is>
      </c>
      <c r="G55" t="inlineStr">
        <is>
          <t>EBL + metrology of pitch/registration</t>
        </is>
      </c>
      <c r="H55" t="inlineStr">
        <is>
          <t>ASM acceptance test asserts pitch &amp; registration &lt;= tolerance.</t>
        </is>
      </c>
      <c r="I55" t="inlineStr">
        <is>
          <t>Electrode array at required pitch with registration &lt;= tolerance (EBL ~75 nm feature floor; sub-feature alignment strategy documented).</t>
        </is>
      </c>
      <c r="J55" t="inlineStr">
        <is>
          <t>YES</t>
        </is>
      </c>
      <c r="K55" t="inlineStr">
        <is>
          <t>registration accuracy; TRL3-&gt;4</t>
        </is>
      </c>
      <c r="L55" t="n">
        <v>4</v>
      </c>
      <c r="M55" t="n">
        <v>5</v>
      </c>
      <c r="Q55" t="inlineStr">
        <is>
          <t>EBL feature floor vs molecular pitch mismatch.</t>
        </is>
      </c>
      <c r="R55" t="inlineStr">
        <is>
          <t>7d76c62c-8be0-4e08-8145-7d76127ccf16</t>
        </is>
      </c>
    </row>
    <row r="56">
      <c r="A56" t="inlineStr">
        <is>
          <t>E2.1</t>
        </is>
      </c>
      <c r="B56" t="inlineStr">
        <is>
          <t>Anchoring design: site-specific attachment occupancy &amp; orientation model</t>
        </is>
      </c>
      <c r="C56" t="inlineStr">
        <is>
          <t>E</t>
        </is>
      </c>
      <c r="D56" t="inlineStr">
        <is>
          <t>E2</t>
        </is>
      </c>
      <c r="E56" t="inlineStr">
        <is>
          <t>leaf</t>
        </is>
      </c>
      <c r="F56" t="inlineStr">
        <is>
          <t>S</t>
        </is>
      </c>
      <c r="G56" t="inlineStr">
        <is>
          <t>Binding/orientation model (dual-anchor SpyCatcher/SnoopTag analogue)</t>
        </is>
      </c>
      <c r="H56" t="inlineStr">
        <is>
          <t>Harness asserts predicted correct-orientation occupancy &gt;= threshold.</t>
        </is>
      </c>
      <c r="I56" t="inlineStr">
        <is>
          <t>Predicted correct-orientation occupancy &gt;= threshold; mis-orientation modes enumerated.</t>
        </is>
      </c>
      <c r="J56" t="inlineStr">
        <is>
          <t>no</t>
        </is>
      </c>
      <c r="L56" t="n">
        <v>3</v>
      </c>
      <c r="M56" t="n">
        <v>4</v>
      </c>
      <c r="Q56" t="inlineStr">
        <is>
          <t>Non-specific binding / orientation scatter.</t>
        </is>
      </c>
    </row>
    <row r="57">
      <c r="A57" t="inlineStr">
        <is>
          <t>E2.2</t>
        </is>
      </c>
      <c r="B57" t="inlineStr">
        <is>
          <t>Measure anchoring yield &amp; orientation (cryo-EM / FRET)</t>
        </is>
      </c>
      <c r="C57" t="inlineStr">
        <is>
          <t>E</t>
        </is>
      </c>
      <c r="D57" t="inlineStr">
        <is>
          <t>E2</t>
        </is>
      </c>
      <c r="E57" t="inlineStr">
        <is>
          <t>leaf</t>
        </is>
      </c>
      <c r="F57" t="inlineStr">
        <is>
          <t>E</t>
        </is>
      </c>
      <c r="G57" t="inlineStr">
        <is>
          <t>cryo-EM / smFRET orientation assay</t>
        </is>
      </c>
      <c r="H57" t="inlineStr">
        <is>
          <t>ASM acceptance test asserts measured occupancy &amp; orientation &gt;= threshold.</t>
        </is>
      </c>
      <c r="I57" t="inlineStr">
        <is>
          <t>Measured correct-orientation occupancy &gt;= threshold; consistent with E2.1.</t>
        </is>
      </c>
      <c r="J57" t="inlineStr">
        <is>
          <t>YES</t>
        </is>
      </c>
      <c r="K57" t="inlineStr">
        <is>
          <t>yield/orientation; TRL3-&gt;4</t>
        </is>
      </c>
      <c r="L57" t="n">
        <v>3</v>
      </c>
      <c r="M57" t="n">
        <v>4</v>
      </c>
      <c r="N57" t="inlineStr">
        <is>
          <t>E2.1</t>
        </is>
      </c>
      <c r="Q57" t="inlineStr">
        <is>
          <t>Interface heterogeneity.</t>
        </is>
      </c>
    </row>
    <row r="58">
      <c r="A58" t="inlineStr">
        <is>
          <t>E3.1</t>
        </is>
      </c>
      <c r="B58" t="inlineStr">
        <is>
          <t>Real-time control-loop latency &amp; stability budget</t>
        </is>
      </c>
      <c r="C58" t="inlineStr">
        <is>
          <t>E</t>
        </is>
      </c>
      <c r="D58" t="inlineStr">
        <is>
          <t>E3</t>
        </is>
      </c>
      <c r="E58" t="inlineStr">
        <is>
          <t>leaf</t>
        </is>
      </c>
      <c r="F58" t="inlineStr">
        <is>
          <t>P</t>
        </is>
      </c>
      <c r="G58" t="inlineStr">
        <is>
          <t>Loop-delay/stability budget (sensor BW + compute + actuator BW)</t>
        </is>
      </c>
      <c r="H58" t="inlineStr">
        <is>
          <t>Evaluator asserts loop phase margin adequate at target bandwidth.</t>
        </is>
      </c>
      <c r="I58" t="inlineStr">
        <is>
          <t>End-to-end loop latency yields adequate phase margin at target control bandwidth.</t>
        </is>
      </c>
      <c r="J58" t="inlineStr">
        <is>
          <t>no</t>
        </is>
      </c>
      <c r="L58" t="n">
        <v>3</v>
      </c>
      <c r="M58" t="n">
        <v>4</v>
      </c>
      <c r="N58" t="inlineStr">
        <is>
          <t>A2.4, A7.1</t>
        </is>
      </c>
      <c r="O58" t="inlineStr">
        <is>
          <t>DIV-2</t>
        </is>
      </c>
      <c r="Q58" t="inlineStr">
        <is>
          <t>Off-board round-trip latency.</t>
        </is>
      </c>
    </row>
    <row r="59">
      <c r="A59" t="inlineStr">
        <is>
          <t>E3.2</t>
        </is>
      </c>
      <c r="B59" t="inlineStr">
        <is>
          <t>AI control model: train on sensor feedback, validate on held-out</t>
        </is>
      </c>
      <c r="C59" t="inlineStr">
        <is>
          <t>E</t>
        </is>
      </c>
      <c r="D59" t="inlineStr">
        <is>
          <t>E3</t>
        </is>
      </c>
      <c r="E59" t="inlineStr">
        <is>
          <t>leaf</t>
        </is>
      </c>
      <c r="F59" t="inlineStr">
        <is>
          <t>S</t>
        </is>
      </c>
      <c r="G59" t="inlineStr">
        <is>
          <t>ML control surrogate + eval</t>
        </is>
      </c>
      <c r="H59" t="inlineStr">
        <is>
          <t>ML eval harness asserts displacement-prediction error &lt;= tolerance on held-out.</t>
        </is>
      </c>
      <c r="I59" t="inlineStr">
        <is>
          <t>Model meets held-out error tolerance; supports closed-loop in A5.</t>
        </is>
      </c>
      <c r="J59" t="inlineStr">
        <is>
          <t>no</t>
        </is>
      </c>
      <c r="L59" t="n">
        <v>2</v>
      </c>
      <c r="M59" t="n">
        <v>4</v>
      </c>
      <c r="N59" t="inlineStr">
        <is>
          <t>A5.4</t>
        </is>
      </c>
      <c r="Q59" t="inlineStr">
        <is>
          <t>Data efficiency / sim-to-real gap.</t>
        </is>
      </c>
    </row>
    <row r="60">
      <c r="A60" t="inlineStr">
        <is>
          <t>E4.1</t>
        </is>
      </c>
      <c r="B60" t="inlineStr">
        <is>
          <t>Array-addressing scalability proof (wiring vs N actuators)</t>
        </is>
      </c>
      <c r="C60" t="inlineStr">
        <is>
          <t>E</t>
        </is>
      </c>
      <c r="D60" t="inlineStr">
        <is>
          <t>E4</t>
        </is>
      </c>
      <c r="E60" t="inlineStr">
        <is>
          <t>leaf</t>
        </is>
      </c>
      <c r="F60" t="inlineStr">
        <is>
          <t>P</t>
        </is>
      </c>
      <c r="G60" t="inlineStr">
        <is>
          <t>Multiplex/wiring scaling proof</t>
        </is>
      </c>
      <c r="H60" t="inlineStr">
        <is>
          <t>Evaluator asserts addressable N within electrode/wiring budget &amp; crosstalk bound.</t>
        </is>
      </c>
      <c r="I60" t="inlineStr">
        <is>
          <t>Addressing scheme scales to target array size within wiring &amp; crosstalk budget.</t>
        </is>
      </c>
      <c r="J60" t="inlineStr">
        <is>
          <t>no</t>
        </is>
      </c>
      <c r="L60" t="n">
        <v>2</v>
      </c>
      <c r="M60" t="n">
        <v>4</v>
      </c>
      <c r="N60" t="inlineStr">
        <is>
          <t>A5.1</t>
        </is>
      </c>
      <c r="Q60" t="inlineStr">
        <is>
          <t>Wiring is the practical ceiling on array size.</t>
        </is>
      </c>
      <c r="R60" t="inlineStr">
        <is>
          <t>aa09dec9-d2a8-4494-9bd0-a10c665718d2</t>
        </is>
      </c>
    </row>
    <row r="61">
      <c r="A61" t="inlineStr">
        <is>
          <t>I1.1</t>
        </is>
      </c>
      <c r="B61" t="inlineStr">
        <is>
          <t>Silicified / covalently-crosslinked bio structure</t>
        </is>
      </c>
      <c r="C61" t="inlineStr">
        <is>
          <t>I</t>
        </is>
      </c>
      <c r="D61" t="inlineStr">
        <is>
          <t>I1</t>
        </is>
      </c>
      <c r="E61" t="inlineStr">
        <is>
          <t>leaf</t>
        </is>
      </c>
      <c r="F61" t="inlineStr">
        <is>
          <t>E</t>
        </is>
      </c>
      <c r="G61" t="inlineStr">
        <is>
          <t>Silica coating and/or UV/covalent crosslinking of DNA/protein</t>
        </is>
      </c>
      <c r="H61" t="inlineStr">
        <is>
          <t>Acceptance test asserts the stabilized structure retains geometry and stiffness through dehydration/vacuum and a salt-free rinse.</t>
        </is>
      </c>
      <c r="I61" t="inlineStr">
        <is>
          <t>Make the Gen-2 bio structure survive dehydration/vacuum without denaturing: SILICIFICATION penetrates DNA origami and raises Young's modulus ~10x (100 MPa -&gt; 1 GPa), stable without salt buffers and at elevated temperature; and/or COVALENT crosslinking (UV/thymidine, oligolysine) stabilizes origami to ~90 C and in pure salt-free water. The stabilized structure also survives the [application obligation] salt-free clean.</t>
        </is>
      </c>
      <c r="J61" t="inlineStr">
        <is>
          <t>YES</t>
        </is>
      </c>
      <c r="K61" t="inlineStr">
        <is>
          <t>vacuum/dehydration survival</t>
        </is>
      </c>
      <c r="L61" t="n">
        <v>2</v>
      </c>
      <c r="M61" t="n">
        <v>3</v>
      </c>
      <c r="Q61" t="inlineStr">
        <is>
          <t>Silica/crosslink may embrittle hinges or fix joints in the wrong pose.</t>
        </is>
      </c>
    </row>
    <row r="62">
      <c r="A62" t="inlineStr">
        <is>
          <t>I1.2</t>
        </is>
      </c>
      <c r="B62" t="inlineStr">
        <is>
          <t>Fully-inorganic NEMS templated / cast by bio-NEMS</t>
        </is>
      </c>
      <c r="C62" t="inlineStr">
        <is>
          <t>I</t>
        </is>
      </c>
      <c r="D62" t="inlineStr">
        <is>
          <t>I1</t>
        </is>
      </c>
      <c r="E62" t="inlineStr">
        <is>
          <t>leaf</t>
        </is>
      </c>
      <c r="F62" t="inlineStr">
        <is>
          <t>E</t>
        </is>
      </c>
      <c r="G62" t="inlineStr">
        <is>
          <t>DNA-mold casting / DNA-programmable inorganic templating</t>
        </is>
      </c>
      <c r="H62" t="inlineStr">
        <is>
          <t>Acceptance test asserts a cast/templated inorganic mechanical element with functional, correctly-bound joints.</t>
        </is>
      </c>
      <c r="I62" t="inlineStr">
        <is>
          <t>Use Gen-2 bio-NEMS (in fluid) to template/CAST a fully-inorganic NEMS mechanism: DNA molds cast metal/semiconductor parts to sub-5 nm replicating the mold; 3D metal/oxide/semiconductor frameworks via DNA-programmable templating are demonstrated. The crux is JOINT/HINGE fidelity - the assembled inorganic mechanism's joints must be bound/constrained correctly. Extend to protein-assembler positioning: ~2-3 nm engineered-protein nanomachines (crosslinked joints) place pre-fabricated stiff inorganic members (CNTs, piezoelectric nanowires) into the target mechanism; joint/hinge fidelity is the crux until inorganic joints become mechanosynthesizable. (Joint material is an open design variable; leading candidate is engineered proteins used as the linkages between inorganic members.)</t>
        </is>
      </c>
      <c r="J62" t="inlineStr">
        <is>
          <t>YES</t>
        </is>
      </c>
      <c r="K62" t="inlineStr">
        <is>
          <t>inorganic mechanism by bio template</t>
        </is>
      </c>
      <c r="L62" t="n">
        <v>1</v>
      </c>
      <c r="M62" t="n">
        <v>3</v>
      </c>
      <c r="N62" t="inlineStr">
        <is>
          <t>I1.1</t>
        </is>
      </c>
      <c r="Q62" t="inlineStr">
        <is>
          <t>Joint/hinge fidelity is the make-or-break (Barton).</t>
        </is>
      </c>
    </row>
    <row r="63">
      <c r="A63" t="inlineStr">
        <is>
          <t>I2.1</t>
        </is>
      </c>
      <c r="B63" t="inlineStr">
        <is>
          <t>Vacuum-native actuator layer (non-DNA)</t>
        </is>
      </c>
      <c r="C63" t="inlineStr">
        <is>
          <t>I</t>
        </is>
      </c>
      <c r="D63" t="inlineStr">
        <is>
          <t>I2</t>
        </is>
      </c>
      <c r="E63" t="inlineStr">
        <is>
          <t>leaf</t>
        </is>
      </c>
      <c r="F63" t="inlineStr">
        <is>
          <t>E</t>
        </is>
      </c>
      <c r="G63" t="inlineStr">
        <is>
          <t>Electrostatic comb/gap, piezo, or electrothermal actuation</t>
        </is>
      </c>
      <c r="H63" t="inlineStr">
        <is>
          <t>Acceptance test asserts the actuator delivers spec force/stroke/bandwidth in vacuum at the manipulator scale.</t>
        </is>
      </c>
      <c r="I63" t="inlineStr">
        <is>
          <t>Replace DNA-electrostatic actuation (needs water/ions) with a vacuum-native actuator - electrostatic comb/gap drive, piezo, or electrothermal - delivering the required force/stroke/bandwidth at the manipulator scale in vacuum (the standard regime for NEMS actuators/resonators).</t>
        </is>
      </c>
      <c r="J63" t="inlineStr">
        <is>
          <t>YES</t>
        </is>
      </c>
      <c r="K63" t="inlineStr">
        <is>
          <t>actuation in vacuum</t>
        </is>
      </c>
      <c r="L63" t="n">
        <v>2</v>
      </c>
      <c r="M63" t="n">
        <v>3</v>
      </c>
      <c r="Q63" t="inlineStr">
        <is>
          <t>Force density and integration with the stabilized structure.</t>
        </is>
      </c>
    </row>
    <row r="64">
      <c r="A64" t="inlineStr">
        <is>
          <t>I3.1</t>
        </is>
      </c>
      <c r="B64" t="inlineStr">
        <is>
          <t>Fluid -&gt; vacuum environmental transition interface</t>
        </is>
      </c>
      <c r="C64" t="inlineStr">
        <is>
          <t>I</t>
        </is>
      </c>
      <c r="D64" t="inlineStr">
        <is>
          <t>I3</t>
        </is>
      </c>
      <c r="E64" t="inlineStr">
        <is>
          <t>leaf</t>
        </is>
      </c>
      <c r="F64" t="inlineStr">
        <is>
          <t>S</t>
        </is>
      </c>
      <c r="G64" t="inlineStr">
        <is>
          <t>Stabilize -&gt; rinse -&gt; critical-point/freeze dry -&gt; pump-down sequence</t>
        </is>
      </c>
      <c r="H64" t="inlineStr">
        <is>
          <t>Harness asserts a transition sequence the structure survives, with the schedule/interface impact documented.</t>
        </is>
      </c>
      <c r="I64" t="inlineStr">
        <is>
          <t>Define the explicit fluid-&gt;vacuum transition (stabilize -&gt; salt-free rinse -&gt; critical-point/freeze dry -&gt; pump-down) that the stabilized structure survives, and capture its impact on the program sequence (likely DELAYS CMOS integration) as a controlled systems-engineering interface.</t>
        </is>
      </c>
      <c r="J64" t="inlineStr">
        <is>
          <t>no</t>
        </is>
      </c>
      <c r="L64" t="n">
        <v>1</v>
      </c>
      <c r="M64" t="n">
        <v>3</v>
      </c>
      <c r="N64" t="inlineStr">
        <is>
          <t>I1.1, I2.1</t>
        </is>
      </c>
      <c r="Q64" t="inlineStr">
        <is>
          <t>Each transition step risks structure loss; adds schedule (Barton).</t>
        </is>
      </c>
    </row>
    <row r="65">
      <c r="A65" t="inlineStr">
        <is>
          <t>I3.2</t>
        </is>
      </c>
      <c r="B65" t="inlineStr">
        <is>
          <t>Vacuum payoff proof (relaxes the fluid obligations)</t>
        </is>
      </c>
      <c r="C65" t="inlineStr">
        <is>
          <t>I</t>
        </is>
      </c>
      <c r="D65" t="inlineStr">
        <is>
          <t>I3</t>
        </is>
      </c>
      <c r="E65" t="inlineStr">
        <is>
          <t>leaf</t>
        </is>
      </c>
      <c r="F65" t="inlineStr">
        <is>
          <t>P</t>
        </is>
      </c>
      <c r="G65" t="inlineStr">
        <is>
          <t>Map vacuum regime onto the the application track fluid obligations</t>
        </is>
      </c>
      <c r="H65" t="inlineStr">
        <is>
          <t>Evaluator asserts each fluid-regime obligation ([application obligation]/[application obligation]/[application obligation]) is relaxed or retired under vacuum operation.</t>
        </is>
      </c>
      <c r="I65" t="inlineStr">
        <is>
          <t>Quantify the vacuum payoff: in-line electrical gate-sweep test is valid (no ~1 nm Debye screening), there is no aqueous mobile-ion source, dry vdW returns to full strength (16-48 pN peel / 1e2-1e3 kBT pin), and there is no capillary dry-down - so vacuum operation relaxes/retires [application obligation] (wet pin), [application obligation] (mobile-ion barrier-vs-probe) and [application obligation] (staged wet/dry loop), and the Round-5 in-fluid live-device block.</t>
        </is>
      </c>
      <c r="J65" t="inlineStr">
        <is>
          <t>no</t>
        </is>
      </c>
      <c r="L65" t="n">
        <v>2</v>
      </c>
      <c r="M65" t="n">
        <v>3</v>
      </c>
      <c r="N65" t="inlineStr">
        <is>
          <t>I3.1</t>
        </is>
      </c>
      <c r="Q65" t="inlineStr">
        <is>
          <t>Outgassing / vacuum adsorbates; tube and contact stability in vacuum.</t>
        </is>
      </c>
    </row>
    <row r="66">
      <c r="A66" t="inlineStr">
        <is>
          <t>I3.3</t>
        </is>
      </c>
      <c r="B66" t="inlineStr">
        <is>
          <t>Bootstrap: Gen-2 builds the Gen-3 vacuum substrate</t>
        </is>
      </c>
      <c r="C66" t="inlineStr">
        <is>
          <t>I</t>
        </is>
      </c>
      <c r="D66" t="inlineStr">
        <is>
          <t>I3</t>
        </is>
      </c>
      <c r="E66" t="inlineStr">
        <is>
          <t>leaf</t>
        </is>
      </c>
      <c r="F66" t="inlineStr">
        <is>
          <t>E</t>
        </is>
      </c>
      <c r="G66" t="inlineStr">
        <is>
          <t>Gen-2 fluid bio-NEMS fabricating an inorganic Gen-3 substrate</t>
        </is>
      </c>
      <c r="H66" t="inlineStr">
        <is>
          <t>Acceptance test asserts a Gen-3 vacuum-operating substrate fabricated by Gen-2 fluid manipulators from CMOS-like materials.</t>
        </is>
      </c>
      <c r="I66" t="inlineStr">
        <is>
          <t>Demonstrate the generational handoff: Gen-2 fluid bio-NEMS manufacture the Gen-3 vacuum-operating substrate out of CMOS-like materials (Si/SiO2/SiN), validating that the fluid generation bootstraps the vacuum generation.</t>
        </is>
      </c>
      <c r="J66" t="inlineStr">
        <is>
          <t>YES</t>
        </is>
      </c>
      <c r="K66" t="inlineStr">
        <is>
          <t>generational bootstrap</t>
        </is>
      </c>
      <c r="L66" t="n">
        <v>1</v>
      </c>
      <c r="M66" t="n">
        <v>3</v>
      </c>
      <c r="N66" t="inlineStr">
        <is>
          <t>I3.1</t>
        </is>
      </c>
      <c r="Q66" t="inlineStr">
        <is>
          <t>Throughput/fidelity of bio-NEMS building an inorganic substrate.</t>
        </is>
      </c>
    </row>
    <row r="67">
      <c r="A67" t="inlineStr">
        <is>
          <t>J1.1</t>
        </is>
      </c>
      <c r="B67" t="inlineStr">
        <is>
          <t>Gen-1 actuator + lever + thermal-noise model</t>
        </is>
      </c>
      <c r="C67" t="inlineStr">
        <is>
          <t>J</t>
        </is>
      </c>
      <c r="D67" t="inlineStr">
        <is>
          <t>J1</t>
        </is>
      </c>
      <c r="E67" t="inlineStr">
        <is>
          <t>leaf</t>
        </is>
      </c>
      <c r="F67" t="inlineStr">
        <is>
          <t>S</t>
        </is>
      </c>
      <c r="G67" t="inlineStr">
        <is>
          <t>Coarse-grained/MD origami stiffness + electrostatic voltage-controlled-spring + thermal spectrum</t>
        </is>
      </c>
      <c r="H67" t="inlineStr">
        <is>
          <t>Harness asserts the modeled force-displacement and closed-loop position spectrum meet the 100 nm/20 pN and 1-2 nm-in-20 nm targets.</t>
        </is>
      </c>
      <c r="I67" t="inlineStr">
        <is>
          <t>Model the Gen-1 stack (patterned electrode / high-k dielectric / soft polymer / DNA-origami Class-3 lever) as a voltage-controlled spring: predict force-displacement (target 100 nm displacement, 20 pN at the load), the Class-3 amplification, and the thermal-noise spectrum (~+-20 nm raw) -&gt; the closed-loop precision achievable (1-2 nm in a 20 nm volume).</t>
        </is>
      </c>
      <c r="J67" t="inlineStr">
        <is>
          <t>no</t>
        </is>
      </c>
      <c r="L67" t="n">
        <v>3</v>
      </c>
      <c r="M67" t="n">
        <v>4</v>
      </c>
      <c r="Q67" t="inlineStr">
        <is>
          <t>Hinge stiffness and polymer restoring force set the achievable precision.</t>
        </is>
      </c>
    </row>
    <row r="68">
      <c r="A68" t="inlineStr">
        <is>
          <t>J1.2</t>
        </is>
      </c>
      <c r="B68" t="inlineStr">
        <is>
          <t>Gen-1 closed-loop actuator demonstration (the true first bench gate)</t>
        </is>
      </c>
      <c r="C68" t="inlineStr">
        <is>
          <t>J</t>
        </is>
      </c>
      <c r="D68" t="inlineStr">
        <is>
          <t>J1</t>
        </is>
      </c>
      <c r="E68" t="inlineStr">
        <is>
          <t>leaf</t>
        </is>
      </c>
      <c r="F68" t="inlineStr">
        <is>
          <t>E</t>
        </is>
      </c>
      <c r="G68" t="inlineStr">
        <is>
          <t>Fold + TEM/AFM validate; electrostatic actuation; FET closed-loop</t>
        </is>
      </c>
      <c r="H68" t="inlineStr">
        <is>
          <t>Acceptance test asserts a folded lever actuates to spec, the adjacent FET senses position, the loop closes, and 1-2 nm precision is reached in a 20 nm volume.</t>
        </is>
      </c>
      <c r="I68" t="inlineStr">
        <is>
          <t>Fold the DNA-origami Class-3 lever and validate by TEM/AFM; electrostatically actuate (100 nm displacement / 20 pN at load); sense position with an adjacent MOSFET (charged DNA backbone modulating the gate); CLOSE THE LOOP (the critical missing element of Iteration 1); achieve 1-2 nm precision in a 20 nm volume despite ~+-20 nm raw thermal noise. This is the foundational gate the entire program presupposes. Stroke figures reconciled: ~100 nm is the Class-3 lever-amplified COARSE displacement; ~5-10 nm is the fine working stroke; ~20 nm is the closed-loop working volume. Operate at the low-ionic-strength point (spermidine / low-Mg + CPD crosslink).</t>
        </is>
      </c>
      <c r="J68" t="inlineStr">
        <is>
          <t>YES</t>
        </is>
      </c>
      <c r="K68" t="inlineStr">
        <is>
          <t>foundational closed-loop demo; gates everything</t>
        </is>
      </c>
      <c r="L68" t="n">
        <v>2</v>
      </c>
      <c r="M68" t="n">
        <v>4</v>
      </c>
      <c r="N68" t="inlineStr">
        <is>
          <t>J1.1, D1.1</t>
        </is>
      </c>
      <c r="Q68" t="inlineStr">
        <is>
          <t>Closed-loop sensing SNR (FET) and fold yield (Kopperger Science 2018 is the electric-field precedent).</t>
        </is>
      </c>
    </row>
    <row r="69">
      <c r="A69" t="inlineStr">
        <is>
          <t>J1.3</t>
        </is>
      </c>
      <c r="B69" t="inlineStr">
        <is>
          <t>Gen-1 addressable actuator array</t>
        </is>
      </c>
      <c r="C69" t="inlineStr">
        <is>
          <t>J</t>
        </is>
      </c>
      <c r="D69" t="inlineStr">
        <is>
          <t>J1</t>
        </is>
      </c>
      <c r="E69" t="inlineStr">
        <is>
          <t>leaf</t>
        </is>
      </c>
      <c r="F69" t="inlineStr">
        <is>
          <t>E</t>
        </is>
      </c>
      <c r="G69" t="inlineStr">
        <is>
          <t>Voltage-routed patterned-electrode addressing</t>
        </is>
      </c>
      <c r="H69" t="inlineStr">
        <is>
          <t>Acceptance test asserts independent per-actuator control across a multi-actuator array via voltage routing.</t>
        </is>
      </c>
      <c r="I69" t="inlineStr">
        <is>
          <t>Demonstrate a multi-actuator array with individual addressing by voltage routing to patterned electrodes (display/memory-pixel-like; no mechanical selectivity), with independent per-actuator closed-loop control - the bridge to the the scaled manipulator array.</t>
        </is>
      </c>
      <c r="J69" t="inlineStr">
        <is>
          <t>YES</t>
        </is>
      </c>
      <c r="K69" t="inlineStr">
        <is>
          <t>array addressing demo</t>
        </is>
      </c>
      <c r="L69" t="n">
        <v>2</v>
      </c>
      <c r="M69" t="n">
        <v>4</v>
      </c>
      <c r="N69" t="inlineStr">
        <is>
          <t>J1.2, E4.1</t>
        </is>
      </c>
      <c r="Q69" t="inlineStr">
        <is>
          <t>Crosstalk and per-site sensing at array density.</t>
        </is>
      </c>
    </row>
    <row r="70">
      <c r="A70" t="inlineStr">
        <is>
          <t>J2.1</t>
        </is>
      </c>
      <c r="B70" t="inlineStr">
        <is>
          <t>Gen-2 protein-stiffened / functional NEMS model</t>
        </is>
      </c>
      <c r="C70" t="inlineStr">
        <is>
          <t>J</t>
        </is>
      </c>
      <c r="D70" t="inlineStr">
        <is>
          <t>J2</t>
        </is>
      </c>
      <c r="E70" t="inlineStr">
        <is>
          <t>leaf</t>
        </is>
      </c>
      <c r="F70" t="inlineStr">
        <is>
          <t>S</t>
        </is>
      </c>
      <c r="G70" t="inlineStr">
        <is>
          <t>De-novo protein design (RFdiffusion/ProteinMPNN) + stiffness/thermal model on origami scaffold</t>
        </is>
      </c>
      <c r="H70" t="inlineStr">
        <is>
          <t>Harness asserts the protein-augmented structure model reaches +-2-5 nm with the targeted functional element positioned to tolerance.</t>
        </is>
      </c>
      <c r="I70" t="inlineStr">
        <is>
          <t>Model protein-augmented NEMS: de-novo proteins (RFdiffusion/ProteinMPNN, Baker-lab class) docked at origami handles (~200 addressable points/tile) predicted to reduce thermal noise to +-2-5 nm and add stiffness/durability, with a functional element (motor / switch / enzymatic active site) positioned to ~Angstrom.</t>
        </is>
      </c>
      <c r="J70" t="inlineStr">
        <is>
          <t>no</t>
        </is>
      </c>
      <c r="L70" t="n">
        <v>2</v>
      </c>
      <c r="M70" t="n">
        <v>3</v>
      </c>
      <c r="N70" t="inlineStr">
        <is>
          <t>J1.1</t>
        </is>
      </c>
      <c r="Q70" t="inlineStr">
        <is>
          <t>De-novo protein design fidelity and protein-DNA interface stability.</t>
        </is>
      </c>
    </row>
    <row r="71">
      <c r="A71" t="inlineStr">
        <is>
          <t>J2.2</t>
        </is>
      </c>
      <c r="B71" t="inlineStr">
        <is>
          <t>Gen-2 protein-augmented NEMS demonstration</t>
        </is>
      </c>
      <c r="C71" t="inlineStr">
        <is>
          <t>J</t>
        </is>
      </c>
      <c r="D71" t="inlineStr">
        <is>
          <t>J2</t>
        </is>
      </c>
      <c r="E71" t="inlineStr">
        <is>
          <t>leaf</t>
        </is>
      </c>
      <c r="F71" t="inlineStr">
        <is>
          <t>E</t>
        </is>
      </c>
      <c r="G71" t="inlineStr">
        <is>
          <t>Protein-on-origami assembly + characterization on the Gen-1 bus</t>
        </is>
      </c>
      <c r="H71" t="inlineStr">
        <is>
          <t>Acceptance test asserts a protein-augmented device reaches +-2-5 nm and positions a functional element to tolerance, driven by the Gen-1 electrostatic+FET bus.</t>
        </is>
      </c>
      <c r="I71" t="inlineStr">
        <is>
          <t>Demonstrate de-novo proteins docked at origami handles reaching +-2-5 nm thermal noise with improved stiffness/durability and a functional element (motor/switch/enzymatic active site) positioned to ~Angstrom, actuated and sensed on the Gen-1 electrostatic+FET bus.</t>
        </is>
      </c>
      <c r="J71" t="inlineStr">
        <is>
          <t>YES</t>
        </is>
      </c>
      <c r="K71" t="inlineStr">
        <is>
          <t>protein-augmented platform demo</t>
        </is>
      </c>
      <c r="L71" t="n">
        <v>1</v>
      </c>
      <c r="M71" t="n">
        <v>3</v>
      </c>
      <c r="N71" t="inlineStr">
        <is>
          <t>J2.1, J1.2</t>
        </is>
      </c>
      <c r="Q71" t="inlineStr">
        <is>
          <t>Protein-DNA hybrid durability in the operating environment.</t>
        </is>
      </c>
    </row>
    <row r="72">
      <c r="A72" t="inlineStr">
        <is>
          <t>J3.1</t>
        </is>
      </c>
      <c r="B72" t="inlineStr">
        <is>
          <t>Gen-3 stiffening-gap proof (toward sub-nm)</t>
        </is>
      </c>
      <c r="C72" t="inlineStr">
        <is>
          <t>J</t>
        </is>
      </c>
      <c r="D72" t="inlineStr">
        <is>
          <t>J3</t>
        </is>
      </c>
      <c r="E72" t="inlineStr">
        <is>
          <t>leaf</t>
        </is>
      </c>
      <c r="F72" t="inlineStr">
        <is>
          <t>P</t>
        </is>
      </c>
      <c r="G72" t="inlineStr">
        <is>
          <t>Stiffness-wall calculation: required vs achievable torsional stiffness</t>
        </is>
      </c>
      <c r="H72" t="inlineStr">
        <is>
          <t>Evaluator asserts the proposed stiffening design (protein and/or inorganic SEG-I) closes the torsional-stiffness gap to k ~ 0.41 N/m for sub-nm placement, AND confirms this is prize-track only (not required for the downstream placement application, which uses kinematic-stop registration).</t>
        </is>
      </c>
      <c r="I72" t="inlineStr">
        <is>
          <t>Prove the stiffening design closes the gap between measured DNA-origami hinge/torsional stiffness (far too low) and k ~ 0.41 N/m required for sub-nm (0.1 nm) placement (vs only ~0.46 pN/nm for 3 nm) - the gating physics for the prize-grade arm (SEG-A) ONLY. Dense-pitch placement does NOT require this: the commercial midpoint hits its tolerance via kinematic-stop registration (~1-3 nm), not sub-nm stiffness. The route that closes the gap is likely INORGANIC (vacuum/inorganic branch, SEG-I), not protein stiffening alone. Quantify required-vs-achievable and the design (protein and/or inorganic) that closes it. Route update: pursue sub-nm NOT by stiffening a protein arm to k~0.41 N/m, but by using ~2-3 nm protein-component assemblers (crosslinked, engineered protein joints) to POSITION stiff inorganic members (CNTs, piezoelectric nanowires); protein joints persist until mechanosynthesis-competent inorganic joints exist. Quantify required-vs-achievable for the assembler+inorganic-member stiffness, not the bare protein. (Joint material is an open design variable; leading candidate is engineered proteins used as the linkages between inorganic members.)</t>
        </is>
      </c>
      <c r="J72" t="inlineStr">
        <is>
          <t>no</t>
        </is>
      </c>
      <c r="L72" t="n">
        <v>2</v>
      </c>
      <c r="M72" t="n">
        <v>3</v>
      </c>
      <c r="N72" t="inlineStr">
        <is>
          <t>J2.1</t>
        </is>
      </c>
      <c r="Q72" t="inlineStr">
        <is>
          <t>The stiffness wall may not be reachable with protein stiffening alone (then inorganic/SEG-I is required).</t>
        </is>
      </c>
    </row>
    <row r="73">
      <c r="A73" t="inlineStr">
        <is>
          <t>J3.2</t>
        </is>
      </c>
      <c r="B73" t="inlineStr">
        <is>
          <t>Gen-3 sub-nm closed-loop placement demonstration</t>
        </is>
      </c>
      <c r="C73" t="inlineStr">
        <is>
          <t>J</t>
        </is>
      </c>
      <c r="D73" t="inlineStr">
        <is>
          <t>J3</t>
        </is>
      </c>
      <c r="E73" t="inlineStr">
        <is>
          <t>leaf</t>
        </is>
      </c>
      <c r="F73" t="inlineStr">
        <is>
          <t>E</t>
        </is>
      </c>
      <c r="G73" t="inlineStr">
        <is>
          <t>Stiffened structure + closed-loop placement</t>
        </is>
      </c>
      <c r="H73" t="inlineStr">
        <is>
          <t>Acceptance test asserts sub-nm closed-loop placement by the stiffened structure.</t>
        </is>
      </c>
      <c r="I73" t="inlineStr">
        <is>
          <t>Demonstrate sub-nm closed-loop placement with the protein-stiffened structure - the precursor tier to the Gen-3+ Feynman-prize-grade arm (SEG-A) and the enabler of dense-pitch placement precision.</t>
        </is>
      </c>
      <c r="J73" t="inlineStr">
        <is>
          <t>YES</t>
        </is>
      </c>
      <c r="K73" t="inlineStr">
        <is>
          <t>sub-nm gate; precursor to prize-grade</t>
        </is>
      </c>
      <c r="L73" t="n">
        <v>1</v>
      </c>
      <c r="M73" t="n">
        <v>3</v>
      </c>
      <c r="N73" t="inlineStr">
        <is>
          <t>J3.1</t>
        </is>
      </c>
      <c r="Q73" t="inlineStr">
        <is>
          <t>Sub-nm under thermal noise even with stiffening; may require Gen-3 vacuum (SEG-I).</t>
        </is>
      </c>
    </row>
    <row r="74">
      <c r="A74" t="inlineStr">
        <is>
          <t>AG.1</t>
        </is>
      </c>
      <c r="B74" t="inlineStr">
        <is>
          <t>Accuracy gate: 0.1 nm</t>
        </is>
      </c>
      <c r="C74" t="inlineStr">
        <is>
          <t>A</t>
        </is>
      </c>
      <c r="D74" t="inlineStr">
        <is>
          <t>AG</t>
        </is>
      </c>
      <c r="E74" t="inlineStr">
        <is>
          <t>leaf</t>
        </is>
      </c>
      <c r="F74" t="inlineStr">
        <is>
          <t>P</t>
        </is>
      </c>
      <c r="G74" t="inlineStr">
        <is>
          <t>Required-vs-achievable accuracy ledger</t>
        </is>
      </c>
      <c r="H74" t="inlineStr">
        <is>
          <t>Evaluator asserts the demonstrated arm positioning accuracy is recorded against the 0.1 nm requirement and flags the gap until met.</t>
        </is>
      </c>
      <c r="I74" t="inlineStr">
        <is>
          <t>REQUIRED 0.1 nm. ACHIEVABLE: Gen-1 1-2 nm, Gen-2 +-2-5 nm, Gen-3 sub-nm (gated). DELTA ~10-20x. CLOSES at Gen-3+ only, contingent on J3.1 closing the torsional-stiffness wall to k~0.41 N/m (vs ~0.46 pN/nm at 3 nm). NOT met in Phases 0-1.</t>
        </is>
      </c>
      <c r="J74" t="inlineStr">
        <is>
          <t>no</t>
        </is>
      </c>
      <c r="L74" t="n">
        <v>2</v>
      </c>
      <c r="M74" t="n">
        <v>4</v>
      </c>
      <c r="N74" t="inlineStr">
        <is>
          <t>J3.1</t>
        </is>
      </c>
      <c r="Q74" t="inlineStr">
        <is>
          <t>Stiffness wall may be unreachable with protein stiffening (then SEG-I vacuum/inorganic).</t>
        </is>
      </c>
    </row>
    <row r="75">
      <c r="A75" t="inlineStr">
        <is>
          <t>AG.2</t>
        </is>
      </c>
      <c r="B75" t="inlineStr">
        <is>
          <t>Force gate: ~100 pN to ~nN</t>
        </is>
      </c>
      <c r="C75" t="inlineStr">
        <is>
          <t>A</t>
        </is>
      </c>
      <c r="D75" t="inlineStr">
        <is>
          <t>AG</t>
        </is>
      </c>
      <c r="E75" t="inlineStr">
        <is>
          <t>leaf</t>
        </is>
      </c>
      <c r="F75" t="inlineStr">
        <is>
          <t>P</t>
        </is>
      </c>
      <c r="G75" t="inlineStr">
        <is>
          <t>Required-vs-achievable force-floor ledger</t>
        </is>
      </c>
      <c r="H75" t="inlineStr">
        <is>
          <t>Evaluator asserts delivered load force is recorded against the mechanosynthesis force floor.</t>
        </is>
      </c>
      <c r="I75" t="inlineStr">
        <is>
          <t>REQUIRED mechanosynthesis force floor ~100 pN (single-site-catalysis target) to ~nN (Ge-C bond breaking). ACHIEVABLE: Gen-1 ~20 pN at load. DELTA ~5-100x. CLOSES at Gen-2/3 stiffening + the single-site-catalysis force relaxation. NOT met at Gen-1.</t>
        </is>
      </c>
      <c r="J75" t="inlineStr">
        <is>
          <t>no</t>
        </is>
      </c>
      <c r="L75" t="n">
        <v>2</v>
      </c>
      <c r="M75" t="n">
        <v>4</v>
      </c>
      <c r="N75" t="inlineStr">
        <is>
          <t>J3.2</t>
        </is>
      </c>
      <c r="Q75" t="inlineStr">
        <is>
          <t>Stiffer structure must still deliver force without losing precision.</t>
        </is>
      </c>
    </row>
    <row r="76">
      <c r="A76" t="inlineStr">
        <is>
          <t>AG.3</t>
        </is>
      </c>
      <c r="B76" t="inlineStr">
        <is>
          <t>Rate gate: &gt;=1000 motions/s for &gt;=60 s</t>
        </is>
      </c>
      <c r="C76" t="inlineStr">
        <is>
          <t>A</t>
        </is>
      </c>
      <c r="D76" t="inlineStr">
        <is>
          <t>AG</t>
        </is>
      </c>
      <c r="E76" t="inlineStr">
        <is>
          <t>leaf</t>
        </is>
      </c>
      <c r="F76" t="inlineStr">
        <is>
          <t>S</t>
        </is>
      </c>
      <c r="G76" t="inlineStr">
        <is>
          <t>Bandwidth-vs-noise model (cadence vs averaging)</t>
        </is>
      </c>
      <c r="H76" t="inlineStr">
        <is>
          <t>Harness asserts the modeled sustained motion rate at the required accuracy meets &gt;=1000/s for &gt;=60 s.</t>
        </is>
      </c>
      <c r="I76" t="inlineStr">
        <is>
          <t>REQUIRED &gt;=1000 motions/s sustained &gt;=60 s (&gt;=6e4 motions). ACHIEVABLE: closed-loop verify/settle cadence ~tens of ms (~16/s in the downstream placement application) -&gt; ~60x short, and in direct tension with averaging-down to 0.1 nm. Quantify via the J1.1 bandwidth-vs-thermal-noise model; CLOSES at Gen-3+.</t>
        </is>
      </c>
      <c r="J76" t="inlineStr">
        <is>
          <t>no</t>
        </is>
      </c>
      <c r="L76" t="n">
        <v>1</v>
      </c>
      <c r="M76" t="n">
        <v>3</v>
      </c>
      <c r="N76" t="inlineStr">
        <is>
          <t>J1.1</t>
        </is>
      </c>
      <c r="Q76" t="inlineStr">
        <is>
          <t>Rate and 0.1 nm accuracy trade off through the averaging time.</t>
        </is>
      </c>
    </row>
    <row r="77">
      <c r="A77" t="inlineStr">
        <is>
          <t>AG.4</t>
        </is>
      </c>
      <c r="B77" t="inlineStr">
        <is>
          <t>Atomically-precise-output gate (the defining deliverable)</t>
        </is>
      </c>
      <c r="C77" t="inlineStr">
        <is>
          <t>A</t>
        </is>
      </c>
      <c r="D77" t="inlineStr">
        <is>
          <t>AG</t>
        </is>
      </c>
      <c r="E77" t="inlineStr">
        <is>
          <t>leaf</t>
        </is>
      </c>
      <c r="F77" t="inlineStr">
        <is>
          <t>P</t>
        </is>
      </c>
      <c r="G77" t="inlineStr">
        <is>
          <t>Output-precision class ledger (nanomaterial vs atomic)</t>
        </is>
      </c>
      <c r="H77" t="inlineStr">
        <is>
          <t>Evaluator asserts the output precision class is recorded against the atomically-precise requirement.</t>
        </is>
      </c>
      <c r="I77" t="inlineStr">
        <is>
          <t>REQUIRED: arm = positional mechanosynthesis engine outputting an ATOMICALLY-PRECISE object; the 8-bit adder is built on an atomically-precise surface. ACHIEVABLE: Gen-1/2/3 place NANOMATERIALS at 1 nm-to-sub-nm, NOT atoms - a categorical gap. CLOSES at Gen-4+ (cryo-STM mechanosynthesis). The defining prize deliverable is two tiers beyond the bio-platform.</t>
        </is>
      </c>
      <c r="J77" t="inlineStr">
        <is>
          <t>no</t>
        </is>
      </c>
      <c r="L77" t="n">
        <v>1</v>
      </c>
      <c r="M77" t="n">
        <v>4</v>
      </c>
      <c r="Q77" t="inlineStr">
        <is>
          <t>Atomically-precise positional assembly is a different capability class than nanomaterial placement.</t>
        </is>
      </c>
    </row>
    <row r="78">
      <c r="A78" t="inlineStr">
        <is>
          <t>AG.5</t>
        </is>
      </c>
      <c r="B78" t="inlineStr">
        <is>
          <t>Size gate: &lt;=100 nm arm / &lt;=50 nm adder</t>
        </is>
      </c>
      <c r="C78" t="inlineStr">
        <is>
          <t>A</t>
        </is>
      </c>
      <c r="D78" t="inlineStr">
        <is>
          <t>AG</t>
        </is>
      </c>
      <c r="E78" t="inlineStr">
        <is>
          <t>leaf</t>
        </is>
      </c>
      <c r="F78" t="inlineStr">
        <is>
          <t>S</t>
        </is>
      </c>
      <c r="G78" t="inlineStr">
        <is>
          <t>Dimensional ledger vs device count</t>
        </is>
      </c>
      <c r="H78" t="inlineStr">
        <is>
          <t>Evaluator asserts arm cube/workspace and adder cube are recorded against the size limits and the device-density implication flagged.</t>
        </is>
      </c>
      <c r="I78" t="inlineStr">
        <is>
          <t>REQUIRED arm &lt;=100 nm cube, 50 nm workspace; adder &lt;=50 nm cube. ACHIEVABLE: arm ~IN RANGE at Gen-1/2 (~20 nm volume, lever extendable; off-board control excluded per DIV-2) - the one axis ~met. But a &lt;=50 nm 8-bit adder (~hundreds of devices) demands atomic-density logic -&gt; BINDING, closes at Gen-4+.</t>
        </is>
      </c>
      <c r="J78" t="inlineStr">
        <is>
          <t>no</t>
        </is>
      </c>
      <c r="L78" t="n">
        <v>2</v>
      </c>
      <c r="M78" t="n">
        <v>4</v>
      </c>
      <c r="Q78" t="inlineStr">
        <is>
          <t>The adder size, not the arm size, is the binding dimensional constraint.</t>
        </is>
      </c>
    </row>
    <row r="79">
      <c r="A79" t="inlineStr">
        <is>
          <t>AG.6</t>
        </is>
      </c>
      <c r="B79" t="inlineStr">
        <is>
          <t>Prize-readiness rollup &amp; go/no-go</t>
        </is>
      </c>
      <c r="C79" t="inlineStr">
        <is>
          <t>A</t>
        </is>
      </c>
      <c r="D79" t="inlineStr">
        <is>
          <t>AG</t>
        </is>
      </c>
      <c r="E79" t="inlineStr">
        <is>
          <t>leaf</t>
        </is>
      </c>
      <c r="F79" t="inlineStr">
        <is>
          <t>S</t>
        </is>
      </c>
      <c r="G79" t="inlineStr">
        <is>
          <t>Conjunction of AG.1-AG.5 + the stiffness-wall decision</t>
        </is>
      </c>
      <c r="H79" t="inlineStr">
        <is>
          <t>Harness asserts prize-ready = AG.1 AND AG.2 AND AG.3 AND AG.4 AND AG.5 all pass; otherwise reports the binding axes and generation.</t>
        </is>
      </c>
      <c r="I79" t="inlineStr">
        <is>
          <t>PRIZE-READY only when AG.1-AG.5 all pass: arm axes (accuracy/force/rate) at Gen-3+ AND atomically-precise output + &lt;=50 nm adder at Gen-4+. Near-term Phases 0-1 (Gen-1/2) do NOT meet it. GO/NO-GO: if J3.1 cannot close the stiffness wall with protein stiffening, the prize-grade arm requires the Gen-3 vacuum/inorganic route (SEG-I). NOTE the revision relaxed FORCE (single-site catalysis) and the ADDER output-form (any readable output, &lt;=100 kT/bit-op) but NOT the 0.1 nm accuracy or the &lt;=50 nm adder size.</t>
        </is>
      </c>
      <c r="J79" t="inlineStr">
        <is>
          <t>no</t>
        </is>
      </c>
      <c r="L79" t="n">
        <v>2</v>
      </c>
      <c r="M79" t="n">
        <v>4</v>
      </c>
      <c r="N79" t="inlineStr">
        <is>
          <t>AG.1, AG.2, AG.3, AG.4, AG.5</t>
        </is>
      </c>
      <c r="Q79" t="inlineStr">
        <is>
          <t>The binding gaps (0.1 nm accuracy; atomically-precise &lt;=50 nm adder) are unrelaxed by the output-defined restatement.</t>
        </is>
      </c>
    </row>
    <row r="80">
      <c r="A80" t="inlineStr">
        <is>
          <t>A7.4</t>
        </is>
      </c>
      <c r="B80" t="inlineStr">
        <is>
          <t>Coupled actuation-stroke + FET-sense SNR vs ionic strength (operating-window proof)</t>
        </is>
      </c>
      <c r="C80" t="inlineStr">
        <is>
          <t>A</t>
        </is>
      </c>
      <c r="D80" t="inlineStr">
        <is>
          <t>A7</t>
        </is>
      </c>
      <c r="E80" t="inlineStr">
        <is>
          <t>leaf</t>
        </is>
      </c>
      <c r="F80" t="inlineStr">
        <is>
          <t>S</t>
        </is>
      </c>
      <c r="G80" t="inlineStr">
        <is>
          <t>Coupled Poisson-Boltzmann + FET electrostatics vs ionic strength</t>
        </is>
      </c>
      <c r="H80" t="inlineStr">
        <is>
          <t>Evaluator confirms a single ionic-strength window meets BOTH stroke&gt;=10 nm/force&gt;=100 pN and FET SNR&gt;=10 at &gt;=1 kHz.</t>
        </is>
      </c>
      <c r="I80" t="inlineStr">
        <is>
          <t>Solve the coupled Poisson-Boltzmann problem for the gated lever + adjacent FET as ONE system vs ionic strength: show an operating window (candidate: spermidine Mg2+-free folding &lt;1 mM, or ~2-3 mM Mg2+ with UV/CPD covalent crosslinking) that SIMULTANEOUSLY delivers actuator stroke &gt;=~3 nm (aspirational ~10 nm; repeatable or closed-loop-correctable) / force &gt;=100 pN AND FET charge-sensing SNR &gt;=10 at &gt;=1 kHz. Report Debye length, work-stroke, and sensed-charge attenuation across the Mg2+/spermidine range. This jointly resolves the actuator(needs ions)-vs-sensor(needs low screening) conflict raised in review.</t>
        </is>
      </c>
      <c r="J80" t="inlineStr">
        <is>
          <t>no</t>
        </is>
      </c>
      <c r="L80" t="n">
        <v>1</v>
      </c>
      <c r="M80" t="n">
        <v>3</v>
      </c>
      <c r="N80" t="inlineStr">
        <is>
          <t>A2.1, A7.1</t>
        </is>
      </c>
      <c r="Q80" t="inlineStr">
        <is>
          <t>Actuator (needs ions) and FET sensor (needs low screening) conflict; low-Mg/Mg2+-free + CPD crosslink is the proposed joint solution but unproven.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2026-06-16T19:11:50Z</dcterms:created>
  <dcterms:modified xmlns:dcterms="http://purl.org/dc/terms/" xmlns:xsi="http://www.w3.org/2001/XMLSchema-instance" xsi:type="dcterms:W3CDTF">2026-06-22T19:55:28Z</dcterms:modified>
</cp:coreProperties>
</file>